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7134e664169fee/Documentos/GitHub/"/>
    </mc:Choice>
  </mc:AlternateContent>
  <xr:revisionPtr revIDLastSave="51" documentId="13_ncr:1_{E90486BE-B544-428C-9BA3-725961BD05FC}" xr6:coauthVersionLast="47" xr6:coauthVersionMax="47" xr10:uidLastSave="{FC398143-9C64-4DE4-B438-4F543B7C30BC}"/>
  <bookViews>
    <workbookView xWindow="-120" yWindow="-120" windowWidth="29040" windowHeight="15720" xr2:uid="{216CFC1A-C5F4-4287-8D21-83E14CDFEDA6}"/>
  </bookViews>
  <sheets>
    <sheet name="Planilha1" sheetId="1" r:id="rId1"/>
  </sheets>
  <definedNames>
    <definedName name="_xlnm._FilterDatabase" localSheetId="0" hidden="1">Planilha1!$I$2:$J$147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7" i="1" l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</calcChain>
</file>

<file path=xl/sharedStrings.xml><?xml version="1.0" encoding="utf-8"?>
<sst xmlns="http://schemas.openxmlformats.org/spreadsheetml/2006/main" count="442" uniqueCount="298">
  <si>
    <t>Periodo</t>
  </si>
  <si>
    <t>Numero da conta</t>
  </si>
  <si>
    <t>Descricao da conta</t>
  </si>
  <si>
    <t>Saldo Anterior</t>
  </si>
  <si>
    <t>debito</t>
  </si>
  <si>
    <t>credito</t>
  </si>
  <si>
    <t>Saldo Final</t>
  </si>
  <si>
    <t>Natureza da Conta</t>
  </si>
  <si>
    <t>ATIVO</t>
  </si>
  <si>
    <t>D</t>
  </si>
  <si>
    <t>1.1</t>
  </si>
  <si>
    <t>ATIVO CIRCULANTE</t>
  </si>
  <si>
    <t>1.1.10</t>
  </si>
  <si>
    <t>DISPONIVEL</t>
  </si>
  <si>
    <t>1.1.10.100</t>
  </si>
  <si>
    <t>CAIXA GERAL</t>
  </si>
  <si>
    <t>1.1.10.100.001</t>
  </si>
  <si>
    <t>Caixa</t>
  </si>
  <si>
    <t>1.1.10.200</t>
  </si>
  <si>
    <t>BANCOS C/ MOVIMENTOS</t>
  </si>
  <si>
    <t>1.1.10.200.006</t>
  </si>
  <si>
    <t>1.1.10.200.008</t>
  </si>
  <si>
    <t>CEF - Caixa Econ Federal - AG. 1989 C Aplic - 2558-0</t>
  </si>
  <si>
    <t>1.1.20</t>
  </si>
  <si>
    <t>REALIZAVEL A CURTO PRAZO</t>
  </si>
  <si>
    <t>1.1.20.100</t>
  </si>
  <si>
    <t>CONTA A RECEBER - CLIENTES</t>
  </si>
  <si>
    <t>1.1.20.100.006</t>
  </si>
  <si>
    <t>1.1.20.100.009</t>
  </si>
  <si>
    <t>Do Princesa do Sul</t>
  </si>
  <si>
    <t>1.1.20.100.015</t>
  </si>
  <si>
    <t>Bloqueio Judicial</t>
  </si>
  <si>
    <t>1.2</t>
  </si>
  <si>
    <t>ATIVO NÃO CIRCULANTE</t>
  </si>
  <si>
    <t>1.2.21</t>
  </si>
  <si>
    <t>IMOBILIZADO</t>
  </si>
  <si>
    <t>1.2.21.100</t>
  </si>
  <si>
    <t>MAQUINAS E FERRAMENTAS</t>
  </si>
  <si>
    <t>1.2.21.100.001</t>
  </si>
  <si>
    <t>Maquinas e Equipamentos</t>
  </si>
  <si>
    <t>1.2.21.100.002</t>
  </si>
  <si>
    <t>Equipamento de Informatica</t>
  </si>
  <si>
    <t>1.2.21.100.003</t>
  </si>
  <si>
    <t>1.2.21.100.004</t>
  </si>
  <si>
    <t>1.2.21.200</t>
  </si>
  <si>
    <t>IMOVEIS</t>
  </si>
  <si>
    <t>Edificacoes</t>
  </si>
  <si>
    <t>1.2.21.300</t>
  </si>
  <si>
    <t>MOVEIS &amp; UTENSILIOS</t>
  </si>
  <si>
    <t>1.2.21.300.001</t>
  </si>
  <si>
    <t>Assessorios p/ Moveis</t>
  </si>
  <si>
    <t>1.2.21.31</t>
  </si>
  <si>
    <t>VEICULOS</t>
  </si>
  <si>
    <t>1.2.21.310.001</t>
  </si>
  <si>
    <t>1.2.21.500</t>
  </si>
  <si>
    <t>DEPRECIACAO ACUMULADA</t>
  </si>
  <si>
    <t>C</t>
  </si>
  <si>
    <t>1.2.21.500.005</t>
  </si>
  <si>
    <t>Depreciação de Sistema de Informatica</t>
  </si>
  <si>
    <t>1.2.21.500.006</t>
  </si>
  <si>
    <t>1.2.21.500.100</t>
  </si>
  <si>
    <t>1.2.21.500.200</t>
  </si>
  <si>
    <t>1.2.21.500.300</t>
  </si>
  <si>
    <t>1.2.21.500.500</t>
  </si>
  <si>
    <t>Depreciação sistema de comunicação</t>
  </si>
  <si>
    <t>1.2.21.500.600</t>
  </si>
  <si>
    <t>PASSIVO</t>
  </si>
  <si>
    <t>2.1</t>
  </si>
  <si>
    <t>PASSIVO CIRCULANTE</t>
  </si>
  <si>
    <t>2.1.20</t>
  </si>
  <si>
    <t>EXIGIVEL A CURTO PRAZO</t>
  </si>
  <si>
    <t>2.1.20.100</t>
  </si>
  <si>
    <t>FORNECEDORES</t>
  </si>
  <si>
    <t>2.1.20.100.0</t>
  </si>
  <si>
    <t>2.1.20.100.10</t>
  </si>
  <si>
    <t>2.1.20.100.7</t>
  </si>
  <si>
    <t>2.1.20.100.103</t>
  </si>
  <si>
    <t>2.1.20.100.3</t>
  </si>
  <si>
    <t>CAVE COMERCIO E SERVICOS LTDA</t>
  </si>
  <si>
    <t>2.1.20.100.8</t>
  </si>
  <si>
    <t>2.1.20.100.9</t>
  </si>
  <si>
    <t>2.1.20.200</t>
  </si>
  <si>
    <t>OBRIGACOES SOCIAIS</t>
  </si>
  <si>
    <t>2.1.20.200.001</t>
  </si>
  <si>
    <t>2.1.20.200.002</t>
  </si>
  <si>
    <t>2.1.20.400</t>
  </si>
  <si>
    <t>OUTRAS OBRIGACOES</t>
  </si>
  <si>
    <t>2.1.20.400.003</t>
  </si>
  <si>
    <t>Ordenados e Salarios a Pagar</t>
  </si>
  <si>
    <t>2.2</t>
  </si>
  <si>
    <t>PATRIMONIO LIQUIDO</t>
  </si>
  <si>
    <t>2.2.11</t>
  </si>
  <si>
    <t>CAPITAL E RESERVA</t>
  </si>
  <si>
    <t>2.2.11.100</t>
  </si>
  <si>
    <t>CAPITAL SOCIAL</t>
  </si>
  <si>
    <t>2.2.11.100.001</t>
  </si>
  <si>
    <t>Patrimonio Social</t>
  </si>
  <si>
    <t>2.2.11.300</t>
  </si>
  <si>
    <t>RESULTADO ACUMULADO</t>
  </si>
  <si>
    <t>2.2.11.300.001</t>
  </si>
  <si>
    <t>RECEITAS</t>
  </si>
  <si>
    <t>3.1</t>
  </si>
  <si>
    <t>RECEITAS OPERACIONAIS</t>
  </si>
  <si>
    <t>3.1.11</t>
  </si>
  <si>
    <t>RECEITAS BRUTA</t>
  </si>
  <si>
    <t>3.1.11.200</t>
  </si>
  <si>
    <t>OUTRAS RECEITAS</t>
  </si>
  <si>
    <t>3.1.11.200.001</t>
  </si>
  <si>
    <t>Programa de Auxilios Financeiros</t>
  </si>
  <si>
    <t>3.1.11.200.002</t>
  </si>
  <si>
    <t>Outras Receitas</t>
  </si>
  <si>
    <t>3.1.11.200.008</t>
  </si>
  <si>
    <t>Outras Receitas - TX - TRANSFERENCIA</t>
  </si>
  <si>
    <t>CUSTOS E DESPESAS</t>
  </si>
  <si>
    <t>4.2</t>
  </si>
  <si>
    <t>DESPESAS OPERACIONAIS</t>
  </si>
  <si>
    <t>4.2.11</t>
  </si>
  <si>
    <t>DESPESAS ADMINISTRATIVAS</t>
  </si>
  <si>
    <t>4.2.11.100</t>
  </si>
  <si>
    <t>DESPESAS COM O PESSOAL</t>
  </si>
  <si>
    <t>4.2.11.100.001</t>
  </si>
  <si>
    <t>Salarios e Ordenados</t>
  </si>
  <si>
    <t>4.2.11.100.003</t>
  </si>
  <si>
    <t>Ferias</t>
  </si>
  <si>
    <t>4.2.11.100.004</t>
  </si>
  <si>
    <t>13o. Salario</t>
  </si>
  <si>
    <t>4.2.11.100.006</t>
  </si>
  <si>
    <t>4.2.11.100.012</t>
  </si>
  <si>
    <t>Vale Transporte</t>
  </si>
  <si>
    <t>4.2.11.200</t>
  </si>
  <si>
    <t>DESPESAS COM OCUPACAO</t>
  </si>
  <si>
    <t>4.2.11.200.009</t>
  </si>
  <si>
    <t>Conservação e Manutenção de Estádios</t>
  </si>
  <si>
    <t>4.2.11.300</t>
  </si>
  <si>
    <t>DESPESAS COM UTILIDADES E SERVICOS</t>
  </si>
  <si>
    <t>4.2.11.300.001</t>
  </si>
  <si>
    <t>Energia Eletrica</t>
  </si>
  <si>
    <t>4.2.11.300.002</t>
  </si>
  <si>
    <t>Agua</t>
  </si>
  <si>
    <t>4.2.11.300.003</t>
  </si>
  <si>
    <t>4.2.11.500</t>
  </si>
  <si>
    <t>DESPESAS GERAIS</t>
  </si>
  <si>
    <t>4.2.11.500.001</t>
  </si>
  <si>
    <t>Viagens Estadas e Representacoes</t>
  </si>
  <si>
    <t>4.2.11.500.003</t>
  </si>
  <si>
    <t>Materiais Esportivos</t>
  </si>
  <si>
    <t>4.2.11.500.004</t>
  </si>
  <si>
    <t>Copa, Cozinha e Refeitorio</t>
  </si>
  <si>
    <t>4.2.11.500.006</t>
  </si>
  <si>
    <t>4.2.11.500.012</t>
  </si>
  <si>
    <t>4.2.11.500.014</t>
  </si>
  <si>
    <t>Serv. Prestados de Pessoas Juridicas</t>
  </si>
  <si>
    <t>4.2.11.500.015</t>
  </si>
  <si>
    <t>4.2.11.500.016</t>
  </si>
  <si>
    <t>Despesas Diversas</t>
  </si>
  <si>
    <t>4.2.11.500.020</t>
  </si>
  <si>
    <t>Ajuda de Custo</t>
  </si>
  <si>
    <t>4.2.11.500.022</t>
  </si>
  <si>
    <t>Despesa de Jogos</t>
  </si>
  <si>
    <t>4.2.11.500.026</t>
  </si>
  <si>
    <t>Despesas com arbitragem</t>
  </si>
  <si>
    <t>4.2.11.500.028</t>
  </si>
  <si>
    <t>4.2.11.600</t>
  </si>
  <si>
    <t>DESPESAS FINANCEIRAS</t>
  </si>
  <si>
    <t>4.2.11.600.001</t>
  </si>
  <si>
    <t>4.2.11.600.004</t>
  </si>
  <si>
    <t>Multas de Mora</t>
  </si>
  <si>
    <t>4.2.11.700</t>
  </si>
  <si>
    <t>DESPESAS TRIBUTARIA</t>
  </si>
  <si>
    <t>4.2.11.700.001</t>
  </si>
  <si>
    <t>Impostos e Taxas Diversas</t>
  </si>
  <si>
    <t>4.2.11.700.007</t>
  </si>
  <si>
    <t>PIS s/ Folha de Pagamento</t>
  </si>
  <si>
    <t>4.2.11.700.008</t>
  </si>
  <si>
    <t>Parcelamento de Tributos Federais</t>
  </si>
  <si>
    <t>4.2.11.700.009</t>
  </si>
  <si>
    <t>Parcelamento de INSS</t>
  </si>
  <si>
    <t>4.2.11.700.011</t>
  </si>
  <si>
    <t>Inss s/ Eventos Esportivos</t>
  </si>
  <si>
    <t>4.2.11.8</t>
  </si>
  <si>
    <t>FUTEBOL PROFISSIONAL / AMADOR</t>
  </si>
  <si>
    <t>4.2.11.800.001</t>
  </si>
  <si>
    <t>River Atletico Club</t>
  </si>
  <si>
    <t>4.2.11.800.002</t>
  </si>
  <si>
    <t>Esporte Clube Flamengo</t>
  </si>
  <si>
    <t>4.2.11.800.003</t>
  </si>
  <si>
    <t>4.2.11.800.004</t>
  </si>
  <si>
    <t>4.2.11.800.005</t>
  </si>
  <si>
    <t>4.2.11.800.006</t>
  </si>
  <si>
    <t>Sociedade Esportiva de Picos</t>
  </si>
  <si>
    <t>4.2.11.800.008</t>
  </si>
  <si>
    <t>4 de Julho Esporte Clube</t>
  </si>
  <si>
    <t>4.2.11.800.009</t>
  </si>
  <si>
    <t>Associação Atletica Oeirense</t>
  </si>
  <si>
    <t>4.2.11.800.013</t>
  </si>
  <si>
    <t>Comercial Atletico Clube</t>
  </si>
  <si>
    <t>4.2.11.800.016</t>
  </si>
  <si>
    <t>Sociedade Esportiva Tiradentes</t>
  </si>
  <si>
    <t>4.2.11.800.021</t>
  </si>
  <si>
    <t>Associação Atletica de Altos</t>
  </si>
  <si>
    <t>4.2.11.800.030</t>
  </si>
  <si>
    <t>Equipe do Fluminense Esporte Clube</t>
  </si>
  <si>
    <t>4.2.11.800.037</t>
  </si>
  <si>
    <t>4.2.11.800.038</t>
  </si>
  <si>
    <t>4.2.11.9</t>
  </si>
  <si>
    <t>REPRESENTAÇÕES</t>
  </si>
  <si>
    <t>4.2.11.900.001</t>
  </si>
  <si>
    <t>Departamento de Árbitros - CBF</t>
  </si>
  <si>
    <t>4.2.11.900.004</t>
  </si>
  <si>
    <t>CEF - Caixa Economica Federal - AG. 1989 C/C 2558-0</t>
  </si>
  <si>
    <t>1.1.20.100.003</t>
  </si>
  <si>
    <t>Do Deines</t>
  </si>
  <si>
    <t>Do Luis Comele</t>
  </si>
  <si>
    <t>1.1.20.100.010</t>
  </si>
  <si>
    <t>Do Calçars</t>
  </si>
  <si>
    <t>Satema de Som</t>
  </si>
  <si>
    <t>Satema de Comunicação</t>
  </si>
  <si>
    <t>Movels &amp; Utensilios</t>
  </si>
  <si>
    <t>VEICULOS-MOTOCICLETAS</t>
  </si>
  <si>
    <t>Depreciação de Satema de Som</t>
  </si>
  <si>
    <t>Depreciacao Maquinas, Equip, e Fermament</t>
  </si>
  <si>
    <t>Deprecacao de Imoveis</t>
  </si>
  <si>
    <t>Deprecacão de Moveis e Utensilios</t>
  </si>
  <si>
    <t>Depreciação Veiculis</t>
  </si>
  <si>
    <t>2.1.10</t>
  </si>
  <si>
    <t>EXIGIVEL</t>
  </si>
  <si>
    <t>2.1.10.100</t>
  </si>
  <si>
    <t>EMPRESTIMOS E FINANCIAMENTOS</t>
  </si>
  <si>
    <t>2.1.10.100.001</t>
  </si>
  <si>
    <t>Empresas Diversos</t>
  </si>
  <si>
    <t>JOSE DA COSTA SERVICOS CONTABIS ME</t>
  </si>
  <si>
    <t>5 CARTORIO DE NOTAS DE TERESINA</t>
  </si>
  <si>
    <t>METROPOLITAN HOTEL LTDA</t>
  </si>
  <si>
    <t>2 SERVENTIA EXTRAJUDICIAL DE NOTAS E PROTESTOS DE</t>
  </si>
  <si>
    <t>TERESINA CARTORIO OFICIO NOTAS</t>
  </si>
  <si>
    <t>ANATALIA GONCALVES DE SAMPAIO PEREIRA CPF 096.62</t>
  </si>
  <si>
    <t>INSS a Racolher</t>
  </si>
  <si>
    <t>FGTS &amp; Recolher</t>
  </si>
  <si>
    <t>Contribuição PIS PASEP a recolher</t>
  </si>
  <si>
    <t>2.1.20.300</t>
  </si>
  <si>
    <t>OBRIGACOES FISCAIS</t>
  </si>
  <si>
    <t>2.1.20.300.009</t>
  </si>
  <si>
    <t>IRRF SOB FOLHA PAGTO</t>
  </si>
  <si>
    <t>Superafft Acumulados</t>
  </si>
  <si>
    <t>3.1.11.400</t>
  </si>
  <si>
    <t>RECEITAS FINANCEIRAS</t>
  </si>
  <si>
    <t>3.1.11.400.003</t>
  </si>
  <si>
    <t>Variacoes Monetarias Ativa</t>
  </si>
  <si>
    <t>FGTS</t>
  </si>
  <si>
    <t>4.2.11.100.014</t>
  </si>
  <si>
    <t>FGTS - Artigo 22 CLT</t>
  </si>
  <si>
    <t>4.2.11.200.003</t>
  </si>
  <si>
    <t>Depreciacao e Amortizacao</t>
  </si>
  <si>
    <t>4.2.11.200.008</t>
  </si>
  <si>
    <t>Conservação e Manutenção em Imoveis</t>
  </si>
  <si>
    <t>Telefone</t>
  </si>
  <si>
    <t>4.2.11.300.008</t>
  </si>
  <si>
    <t>Transportes do Pessoal</t>
  </si>
  <si>
    <t>Propaganda, Revistas, Jornal e Publicacoes</t>
  </si>
  <si>
    <t>Multas Extra-Fiscal</t>
  </si>
  <si>
    <t>Serv. Prest. de Pessoa Fisica</t>
  </si>
  <si>
    <t>4.2.11.500.027</t>
  </si>
  <si>
    <t>Instituto de Futebol do Piauí</t>
  </si>
  <si>
    <t>Confederação Bras de Futebol / Federação de Futebol do Pia</t>
  </si>
  <si>
    <t>Juros Pagos ou Incomes</t>
  </si>
  <si>
    <t>Associação Atletica Corisaba</t>
  </si>
  <si>
    <t>Parnalbe Sport Clube</t>
  </si>
  <si>
    <t>Caligara Esporte Clube</t>
  </si>
  <si>
    <t>4.2.11.800.011</t>
  </si>
  <si>
    <t>APCDEP</t>
  </si>
  <si>
    <t>4.2.11.800.025</t>
  </si>
  <si>
    <t>Escola De Futebol Boca Junior</t>
  </si>
  <si>
    <t>4.2.11.800.029</t>
  </si>
  <si>
    <t>Equipe Abelha Rainha</t>
  </si>
  <si>
    <t>4.2.11.800.035</t>
  </si>
  <si>
    <t>Federação Alagoara de Futebol</t>
  </si>
  <si>
    <t>4.2.11.800.036</t>
  </si>
  <si>
    <t>Federação Pernambucana de Futebol</t>
  </si>
  <si>
    <t>Clube Atletico Piauiense</t>
  </si>
  <si>
    <t>Equipe Skull Red - sede em Teresina</t>
  </si>
  <si>
    <t>4.2.11.800.039</t>
  </si>
  <si>
    <t>Equipe do São João - sede em Teresina</t>
  </si>
  <si>
    <t>4.2.11.800.040</t>
  </si>
  <si>
    <t>Equipe Racing</t>
  </si>
  <si>
    <t>4.2.11.800.041</t>
  </si>
  <si>
    <t>Equipe do Sporting</t>
  </si>
  <si>
    <t>4.2.11.800.042</t>
  </si>
  <si>
    <t>Equipe Reis dos Reis</t>
  </si>
  <si>
    <t>4.2.11.800.043</t>
  </si>
  <si>
    <t>Equipe Escolinha Real</t>
  </si>
  <si>
    <t>4.2.11.800.044</t>
  </si>
  <si>
    <t>Equipe do Camisa 07</t>
  </si>
  <si>
    <t>QUADRO MÓVEL</t>
  </si>
  <si>
    <t>4.2.11.900.006</t>
  </si>
  <si>
    <t>Sindicato dos Atletas Profissionais</t>
  </si>
  <si>
    <t>1.2.21.200.002</t>
  </si>
  <si>
    <t>1.2.21.300.002</t>
  </si>
  <si>
    <t>2.1.20.200.010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</si>
</sst>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43" fontId="0" fillId="0" borderId="0" xfId="1" applyFont="1"/>
    <xf numFmtId="17" fontId="0" fillId="0" borderId="0" xfId="0" applyNumberFormat="1"/>
    <xf numFmtId="43" fontId="0" fillId="0" borderId="0" xfId="43" applyFont="1"/>
    <xf numFmtId="43" fontId="0" fillId="0" borderId="0" xfId="1" applyFont="1" applyFill="1"/>
    <xf numFmtId="43" fontId="0" fillId="0" borderId="0" xfId="43" applyFont="1" applyFill="1"/>
  </cellXfs>
  <cellStyles count="44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  <cellStyle name="Vírgula 2" xfId="43" xr:uid="{E46C2BD5-EA9E-4298-9CFE-6220ED2FF6A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DA89E-181F-4F46-8159-EEE86A9FCEEB}">
  <dimension ref="A1:I147"/>
  <sheetViews>
    <sheetView tabSelected="1" topLeftCell="A66" workbookViewId="0">
      <selection activeCell="M85" sqref="M85"/>
    </sheetView>
  </sheetViews>
  <sheetFormatPr defaultRowHeight="15" x14ac:dyDescent="0.25"/>
  <cols>
    <col min="1" max="1" width="7.85546875" bestFit="1" customWidth="1"/>
    <col min="2" max="2" width="16.42578125" bestFit="1" customWidth="1"/>
    <col min="3" max="3" width="100.140625" bestFit="1" customWidth="1"/>
    <col min="4" max="4" width="15" bestFit="1" customWidth="1"/>
    <col min="5" max="7" width="13.28515625" bestFit="1" customWidth="1"/>
    <col min="8" max="8" width="17.5703125" bestFit="1" customWidth="1"/>
    <col min="9" max="9" width="11.5703125" style="1" bestFit="1" customWidth="1"/>
  </cols>
  <sheetData>
    <row r="1" spans="1:8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t="s">
        <v>7</v>
      </c>
    </row>
    <row r="2" spans="1:8" x14ac:dyDescent="0.25">
      <c r="A2" s="2">
        <v>45627</v>
      </c>
      <c r="B2">
        <v>1</v>
      </c>
      <c r="C2" t="s">
        <v>8</v>
      </c>
      <c r="D2" s="3">
        <v>1407948.08</v>
      </c>
      <c r="E2" s="3">
        <v>11242058.76</v>
      </c>
      <c r="F2" s="3">
        <v>11421451.369999999</v>
      </c>
      <c r="G2" s="5">
        <v>1228555.47</v>
      </c>
      <c r="H2" t="s">
        <v>9</v>
      </c>
    </row>
    <row r="3" spans="1:8" x14ac:dyDescent="0.25">
      <c r="A3" s="2">
        <v>45627</v>
      </c>
      <c r="B3" t="s">
        <v>10</v>
      </c>
      <c r="C3" t="s">
        <v>11</v>
      </c>
      <c r="D3" s="3">
        <v>327917.45</v>
      </c>
      <c r="E3" s="3">
        <v>11242058.76</v>
      </c>
      <c r="F3" s="3">
        <v>11413960.82</v>
      </c>
      <c r="G3" s="5">
        <v>156007.29999999999</v>
      </c>
      <c r="H3" t="s">
        <v>9</v>
      </c>
    </row>
    <row r="4" spans="1:8" x14ac:dyDescent="0.25">
      <c r="A4" s="2">
        <v>45627</v>
      </c>
      <c r="B4" t="s">
        <v>12</v>
      </c>
      <c r="C4" t="s">
        <v>13</v>
      </c>
      <c r="D4" s="3">
        <v>280740.84000000003</v>
      </c>
      <c r="E4" s="3">
        <v>11242058.76</v>
      </c>
      <c r="F4" s="3">
        <v>11377408.32</v>
      </c>
      <c r="G4" s="5">
        <v>145391.28</v>
      </c>
      <c r="H4" t="s">
        <v>9</v>
      </c>
    </row>
    <row r="5" spans="1:8" x14ac:dyDescent="0.25">
      <c r="A5" s="2">
        <v>45627</v>
      </c>
      <c r="B5" t="s">
        <v>14</v>
      </c>
      <c r="C5" t="s">
        <v>15</v>
      </c>
      <c r="D5" s="3">
        <v>2220.63</v>
      </c>
      <c r="E5" s="3">
        <v>308617.92</v>
      </c>
      <c r="F5" s="3">
        <v>310723.46999999997</v>
      </c>
      <c r="G5" s="5">
        <v>115.08</v>
      </c>
      <c r="H5" t="s">
        <v>9</v>
      </c>
    </row>
    <row r="6" spans="1:8" x14ac:dyDescent="0.25">
      <c r="A6" s="2">
        <v>45627</v>
      </c>
      <c r="B6" t="s">
        <v>16</v>
      </c>
      <c r="C6" t="s">
        <v>17</v>
      </c>
      <c r="D6" s="3">
        <v>2220.63</v>
      </c>
      <c r="E6" s="3">
        <v>308617.92</v>
      </c>
      <c r="F6" s="3">
        <v>310723.46999999997</v>
      </c>
      <c r="G6" s="5">
        <v>115.08</v>
      </c>
      <c r="H6" t="s">
        <v>9</v>
      </c>
    </row>
    <row r="7" spans="1:8" x14ac:dyDescent="0.25">
      <c r="A7" s="2">
        <v>45627</v>
      </c>
      <c r="B7" t="s">
        <v>18</v>
      </c>
      <c r="C7" t="s">
        <v>19</v>
      </c>
      <c r="D7" s="3">
        <v>278520.21000000002</v>
      </c>
      <c r="E7" s="3">
        <v>10933440.84</v>
      </c>
      <c r="F7" s="3">
        <v>11066684.85</v>
      </c>
      <c r="G7" s="5">
        <v>145276.20000000001</v>
      </c>
      <c r="H7" t="s">
        <v>9</v>
      </c>
    </row>
    <row r="8" spans="1:8" x14ac:dyDescent="0.25">
      <c r="A8" s="2">
        <v>45627</v>
      </c>
      <c r="B8" t="s">
        <v>20</v>
      </c>
      <c r="C8" t="s">
        <v>209</v>
      </c>
      <c r="D8" s="3">
        <v>278520.21000000002</v>
      </c>
      <c r="E8" s="3">
        <v>8684972.25</v>
      </c>
      <c r="F8" s="3">
        <v>8818242.0299999993</v>
      </c>
      <c r="G8" s="5">
        <v>145250.43</v>
      </c>
      <c r="H8" t="s">
        <v>9</v>
      </c>
    </row>
    <row r="9" spans="1:8" x14ac:dyDescent="0.25">
      <c r="A9" s="2">
        <v>45627</v>
      </c>
      <c r="B9" t="s">
        <v>21</v>
      </c>
      <c r="C9" t="s">
        <v>22</v>
      </c>
      <c r="D9" s="3">
        <v>0</v>
      </c>
      <c r="E9" s="3">
        <v>2248468.59</v>
      </c>
      <c r="F9" s="3">
        <v>2246442.8199999998</v>
      </c>
      <c r="G9" s="5">
        <v>25.77</v>
      </c>
      <c r="H9" t="s">
        <v>9</v>
      </c>
    </row>
    <row r="10" spans="1:8" x14ac:dyDescent="0.25">
      <c r="A10" s="2">
        <v>45627</v>
      </c>
      <c r="B10" t="s">
        <v>23</v>
      </c>
      <c r="C10" t="s">
        <v>24</v>
      </c>
      <c r="D10" s="3">
        <v>47176.61</v>
      </c>
      <c r="E10" s="3">
        <v>0</v>
      </c>
      <c r="F10" s="3">
        <v>36560.5</v>
      </c>
      <c r="G10" s="5">
        <v>10616.11</v>
      </c>
      <c r="H10" t="s">
        <v>9</v>
      </c>
    </row>
    <row r="11" spans="1:8" x14ac:dyDescent="0.25">
      <c r="A11" s="2">
        <v>45627</v>
      </c>
      <c r="B11" t="s">
        <v>25</v>
      </c>
      <c r="C11" t="s">
        <v>26</v>
      </c>
      <c r="D11" s="3">
        <v>47176.61</v>
      </c>
      <c r="E11" s="3">
        <v>0</v>
      </c>
      <c r="F11" s="3">
        <v>36560.5</v>
      </c>
      <c r="G11" s="5">
        <v>10616.11</v>
      </c>
      <c r="H11" t="s">
        <v>9</v>
      </c>
    </row>
    <row r="12" spans="1:8" x14ac:dyDescent="0.25">
      <c r="A12" s="2">
        <v>45627</v>
      </c>
      <c r="B12" t="s">
        <v>210</v>
      </c>
      <c r="C12" t="s">
        <v>211</v>
      </c>
      <c r="D12" s="3">
        <v>11560.5</v>
      </c>
      <c r="E12" s="3">
        <v>0</v>
      </c>
      <c r="F12" s="3">
        <v>11560.5</v>
      </c>
      <c r="G12" s="5">
        <v>0</v>
      </c>
      <c r="H12" t="s">
        <v>9</v>
      </c>
    </row>
    <row r="13" spans="1:8" x14ac:dyDescent="0.25">
      <c r="A13" s="2">
        <v>45627</v>
      </c>
      <c r="B13" t="s">
        <v>27</v>
      </c>
      <c r="C13" t="s">
        <v>212</v>
      </c>
      <c r="D13" s="3">
        <v>2451</v>
      </c>
      <c r="E13" s="3">
        <v>0</v>
      </c>
      <c r="F13" s="3">
        <v>0</v>
      </c>
      <c r="G13" s="5">
        <v>2451</v>
      </c>
      <c r="H13" t="s">
        <v>9</v>
      </c>
    </row>
    <row r="14" spans="1:8" x14ac:dyDescent="0.25">
      <c r="A14" s="2">
        <v>45627</v>
      </c>
      <c r="B14" t="s">
        <v>28</v>
      </c>
      <c r="C14" t="s">
        <v>29</v>
      </c>
      <c r="D14" s="3">
        <v>7482.16</v>
      </c>
      <c r="E14" s="3">
        <v>0</v>
      </c>
      <c r="F14" s="3">
        <v>0</v>
      </c>
      <c r="G14" s="5">
        <v>7482.16</v>
      </c>
      <c r="H14" t="s">
        <v>9</v>
      </c>
    </row>
    <row r="15" spans="1:8" x14ac:dyDescent="0.25">
      <c r="A15" s="2">
        <v>45627</v>
      </c>
      <c r="B15" t="s">
        <v>213</v>
      </c>
      <c r="C15" t="s">
        <v>214</v>
      </c>
      <c r="D15" s="3">
        <v>25000</v>
      </c>
      <c r="E15" s="3">
        <v>0</v>
      </c>
      <c r="F15" s="3">
        <v>25000</v>
      </c>
      <c r="G15" s="5">
        <v>0</v>
      </c>
      <c r="H15" t="s">
        <v>9</v>
      </c>
    </row>
    <row r="16" spans="1:8" x14ac:dyDescent="0.25">
      <c r="A16" s="2">
        <v>45627</v>
      </c>
      <c r="B16" t="s">
        <v>30</v>
      </c>
      <c r="C16" t="s">
        <v>31</v>
      </c>
      <c r="D16" s="3">
        <v>682.95</v>
      </c>
      <c r="E16" s="3">
        <v>0</v>
      </c>
      <c r="F16" s="3">
        <v>0</v>
      </c>
      <c r="G16" s="5">
        <v>682.95</v>
      </c>
      <c r="H16" t="s">
        <v>9</v>
      </c>
    </row>
    <row r="17" spans="1:8" x14ac:dyDescent="0.25">
      <c r="A17" s="2">
        <v>45627</v>
      </c>
      <c r="B17" t="s">
        <v>32</v>
      </c>
      <c r="C17" t="s">
        <v>33</v>
      </c>
      <c r="D17" s="3">
        <v>1080030.6299999999</v>
      </c>
      <c r="E17" s="3">
        <v>0</v>
      </c>
      <c r="F17" s="3">
        <v>7482.55</v>
      </c>
      <c r="G17" s="5">
        <v>1072548.08</v>
      </c>
      <c r="H17" t="s">
        <v>9</v>
      </c>
    </row>
    <row r="18" spans="1:8" x14ac:dyDescent="0.25">
      <c r="A18" s="2">
        <v>45627</v>
      </c>
      <c r="B18" t="s">
        <v>34</v>
      </c>
      <c r="C18" t="s">
        <v>35</v>
      </c>
      <c r="D18" s="3">
        <v>1080030.6299999999</v>
      </c>
      <c r="E18" s="3">
        <v>0</v>
      </c>
      <c r="F18" s="3">
        <v>7482.55</v>
      </c>
      <c r="G18" s="5">
        <v>1072548.08</v>
      </c>
      <c r="H18" t="s">
        <v>9</v>
      </c>
    </row>
    <row r="19" spans="1:8" x14ac:dyDescent="0.25">
      <c r="A19" s="2">
        <v>45627</v>
      </c>
      <c r="B19" t="s">
        <v>36</v>
      </c>
      <c r="C19" t="s">
        <v>37</v>
      </c>
      <c r="D19" s="3">
        <v>65102.46</v>
      </c>
      <c r="E19" s="3">
        <v>0</v>
      </c>
      <c r="F19" s="3">
        <v>0</v>
      </c>
      <c r="G19" s="5">
        <v>65102.46</v>
      </c>
      <c r="H19" t="s">
        <v>9</v>
      </c>
    </row>
    <row r="20" spans="1:8" x14ac:dyDescent="0.25">
      <c r="A20" s="2">
        <v>45627</v>
      </c>
      <c r="B20" t="s">
        <v>38</v>
      </c>
      <c r="C20" t="s">
        <v>39</v>
      </c>
      <c r="D20" s="3">
        <v>26638.7</v>
      </c>
      <c r="E20" s="3">
        <v>0</v>
      </c>
      <c r="F20" s="3">
        <v>0</v>
      </c>
      <c r="G20" s="5">
        <v>26638.7</v>
      </c>
      <c r="H20" t="s">
        <v>9</v>
      </c>
    </row>
    <row r="21" spans="1:8" x14ac:dyDescent="0.25">
      <c r="A21" s="2">
        <v>45627</v>
      </c>
      <c r="B21" t="s">
        <v>40</v>
      </c>
      <c r="C21" t="s">
        <v>41</v>
      </c>
      <c r="D21" s="3">
        <v>30620.76</v>
      </c>
      <c r="E21" s="3">
        <v>0</v>
      </c>
      <c r="F21" s="3">
        <v>0</v>
      </c>
      <c r="G21" s="5">
        <v>30620.76</v>
      </c>
      <c r="H21" t="s">
        <v>9</v>
      </c>
    </row>
    <row r="22" spans="1:8" x14ac:dyDescent="0.25">
      <c r="A22" s="2">
        <v>45627</v>
      </c>
      <c r="B22" t="s">
        <v>42</v>
      </c>
      <c r="C22" t="s">
        <v>215</v>
      </c>
      <c r="D22" s="3">
        <v>6849</v>
      </c>
      <c r="E22" s="3">
        <v>0</v>
      </c>
      <c r="F22" s="3">
        <v>0</v>
      </c>
      <c r="G22" s="5">
        <v>6849</v>
      </c>
      <c r="H22" t="s">
        <v>9</v>
      </c>
    </row>
    <row r="23" spans="1:8" x14ac:dyDescent="0.25">
      <c r="A23" s="2">
        <v>45627</v>
      </c>
      <c r="B23" t="s">
        <v>43</v>
      </c>
      <c r="C23" t="s">
        <v>216</v>
      </c>
      <c r="D23" s="3">
        <v>994</v>
      </c>
      <c r="E23" s="3">
        <v>0</v>
      </c>
      <c r="F23" s="3">
        <v>0</v>
      </c>
      <c r="G23" s="5">
        <v>994</v>
      </c>
      <c r="H23" t="s">
        <v>9</v>
      </c>
    </row>
    <row r="24" spans="1:8" x14ac:dyDescent="0.25">
      <c r="A24" s="2">
        <v>45627</v>
      </c>
      <c r="B24" t="s">
        <v>44</v>
      </c>
      <c r="C24" t="s">
        <v>45</v>
      </c>
      <c r="D24" s="3">
        <v>1100000</v>
      </c>
      <c r="E24" s="3">
        <v>0</v>
      </c>
      <c r="F24" s="3">
        <v>0</v>
      </c>
      <c r="G24" s="5">
        <v>1100000</v>
      </c>
      <c r="H24" t="s">
        <v>9</v>
      </c>
    </row>
    <row r="25" spans="1:8" x14ac:dyDescent="0.25">
      <c r="A25" s="2">
        <v>45627</v>
      </c>
      <c r="B25" t="s">
        <v>295</v>
      </c>
      <c r="C25" t="s">
        <v>46</v>
      </c>
      <c r="D25" s="3">
        <v>1100000</v>
      </c>
      <c r="E25" s="3">
        <v>0</v>
      </c>
      <c r="F25" s="3">
        <v>0</v>
      </c>
      <c r="G25" s="5">
        <v>1100000</v>
      </c>
      <c r="H25" t="s">
        <v>9</v>
      </c>
    </row>
    <row r="26" spans="1:8" x14ac:dyDescent="0.25">
      <c r="A26" s="2">
        <v>45627</v>
      </c>
      <c r="B26" t="s">
        <v>47</v>
      </c>
      <c r="C26" t="s">
        <v>48</v>
      </c>
      <c r="D26" s="3">
        <v>43147</v>
      </c>
      <c r="E26" s="3">
        <v>0</v>
      </c>
      <c r="F26" s="3">
        <v>0</v>
      </c>
      <c r="G26" s="5">
        <v>43147</v>
      </c>
      <c r="H26" t="s">
        <v>9</v>
      </c>
    </row>
    <row r="27" spans="1:8" x14ac:dyDescent="0.25">
      <c r="A27" s="2">
        <v>45627</v>
      </c>
      <c r="B27" t="s">
        <v>49</v>
      </c>
      <c r="C27" t="s">
        <v>217</v>
      </c>
      <c r="D27" s="3">
        <v>43134.5</v>
      </c>
      <c r="E27" s="3">
        <v>0</v>
      </c>
      <c r="F27" s="3">
        <v>0</v>
      </c>
      <c r="G27" s="5">
        <v>43134.5</v>
      </c>
      <c r="H27" t="s">
        <v>9</v>
      </c>
    </row>
    <row r="28" spans="1:8" x14ac:dyDescent="0.25">
      <c r="A28" s="2">
        <v>45627</v>
      </c>
      <c r="B28" t="s">
        <v>296</v>
      </c>
      <c r="C28" t="s">
        <v>50</v>
      </c>
      <c r="D28" s="3">
        <v>12.5</v>
      </c>
      <c r="E28" s="3">
        <v>0</v>
      </c>
      <c r="F28" s="3">
        <v>0</v>
      </c>
      <c r="G28" s="5">
        <v>12.5</v>
      </c>
      <c r="H28" t="s">
        <v>9</v>
      </c>
    </row>
    <row r="29" spans="1:8" x14ac:dyDescent="0.25">
      <c r="A29" s="2">
        <v>45627</v>
      </c>
      <c r="B29" t="s">
        <v>51</v>
      </c>
      <c r="C29" t="s">
        <v>52</v>
      </c>
      <c r="D29" s="3">
        <v>10870</v>
      </c>
      <c r="E29" s="3">
        <v>0</v>
      </c>
      <c r="F29" s="3">
        <v>0</v>
      </c>
      <c r="G29" s="5">
        <v>10870</v>
      </c>
      <c r="H29" t="s">
        <v>9</v>
      </c>
    </row>
    <row r="30" spans="1:8" x14ac:dyDescent="0.25">
      <c r="A30" s="2">
        <v>45627</v>
      </c>
      <c r="B30" t="s">
        <v>53</v>
      </c>
      <c r="C30" t="s">
        <v>218</v>
      </c>
      <c r="D30" s="3">
        <v>10870</v>
      </c>
      <c r="E30" s="3">
        <v>0</v>
      </c>
      <c r="F30" s="3">
        <v>0</v>
      </c>
      <c r="G30" s="5">
        <v>10870</v>
      </c>
      <c r="H30" t="s">
        <v>9</v>
      </c>
    </row>
    <row r="31" spans="1:8" x14ac:dyDescent="0.25">
      <c r="A31" s="2">
        <v>45627</v>
      </c>
      <c r="B31" t="s">
        <v>54</v>
      </c>
      <c r="C31" t="s">
        <v>55</v>
      </c>
      <c r="D31" s="3">
        <v>139088.82999999999</v>
      </c>
      <c r="E31" s="3">
        <v>0</v>
      </c>
      <c r="F31" s="3">
        <v>7482.55</v>
      </c>
      <c r="G31" s="5">
        <v>-146571.38</v>
      </c>
      <c r="H31" t="s">
        <v>56</v>
      </c>
    </row>
    <row r="32" spans="1:8" x14ac:dyDescent="0.25">
      <c r="A32" s="2">
        <v>45627</v>
      </c>
      <c r="B32" t="s">
        <v>57</v>
      </c>
      <c r="C32" t="s">
        <v>58</v>
      </c>
      <c r="D32" s="3">
        <v>25241.5</v>
      </c>
      <c r="E32" s="3">
        <v>0</v>
      </c>
      <c r="F32" s="3">
        <v>827.7</v>
      </c>
      <c r="G32" s="5">
        <v>-26069.200000000001</v>
      </c>
      <c r="H32" t="s">
        <v>56</v>
      </c>
    </row>
    <row r="33" spans="1:8" x14ac:dyDescent="0.25">
      <c r="A33" s="2">
        <v>45627</v>
      </c>
      <c r="B33" t="s">
        <v>59</v>
      </c>
      <c r="C33" t="s">
        <v>219</v>
      </c>
      <c r="D33" s="3">
        <v>6849</v>
      </c>
      <c r="E33" s="3">
        <v>0</v>
      </c>
      <c r="F33" s="3">
        <v>0</v>
      </c>
      <c r="G33" s="5">
        <v>-6849</v>
      </c>
      <c r="H33" t="s">
        <v>56</v>
      </c>
    </row>
    <row r="34" spans="1:8" x14ac:dyDescent="0.25">
      <c r="A34" s="2">
        <v>45627</v>
      </c>
      <c r="B34" t="s">
        <v>60</v>
      </c>
      <c r="C34" t="s">
        <v>220</v>
      </c>
      <c r="D34" s="3">
        <v>18846.439999999999</v>
      </c>
      <c r="E34" s="3">
        <v>0</v>
      </c>
      <c r="F34" s="3">
        <v>2225.9</v>
      </c>
      <c r="G34" s="5">
        <v>-21072.34</v>
      </c>
      <c r="H34" t="s">
        <v>56</v>
      </c>
    </row>
    <row r="35" spans="1:8" x14ac:dyDescent="0.25">
      <c r="A35" s="2">
        <v>45627</v>
      </c>
      <c r="B35" t="s">
        <v>61</v>
      </c>
      <c r="C35" t="s">
        <v>221</v>
      </c>
      <c r="D35" s="3">
        <v>44000</v>
      </c>
      <c r="E35" s="3">
        <v>0</v>
      </c>
      <c r="F35" s="3">
        <v>0</v>
      </c>
      <c r="G35" s="5">
        <v>-44000</v>
      </c>
      <c r="H35" t="s">
        <v>56</v>
      </c>
    </row>
    <row r="36" spans="1:8" x14ac:dyDescent="0.25">
      <c r="A36" s="2">
        <v>45627</v>
      </c>
      <c r="B36" t="s">
        <v>62</v>
      </c>
      <c r="C36" t="s">
        <v>222</v>
      </c>
      <c r="D36" s="3">
        <v>39894.49</v>
      </c>
      <c r="E36" s="3">
        <v>0</v>
      </c>
      <c r="F36" s="3">
        <v>3252.51</v>
      </c>
      <c r="G36" s="5">
        <v>-43147</v>
      </c>
      <c r="H36" t="s">
        <v>56</v>
      </c>
    </row>
    <row r="37" spans="1:8" x14ac:dyDescent="0.25">
      <c r="A37" s="2">
        <v>45627</v>
      </c>
      <c r="B37" t="s">
        <v>63</v>
      </c>
      <c r="C37" t="s">
        <v>64</v>
      </c>
      <c r="D37" s="3">
        <v>905.82</v>
      </c>
      <c r="E37" s="3">
        <v>0</v>
      </c>
      <c r="F37" s="3">
        <v>88.18</v>
      </c>
      <c r="G37" s="5">
        <v>-994</v>
      </c>
      <c r="H37" t="s">
        <v>56</v>
      </c>
    </row>
    <row r="38" spans="1:8" x14ac:dyDescent="0.25">
      <c r="A38" s="2">
        <v>45627</v>
      </c>
      <c r="B38" t="s">
        <v>65</v>
      </c>
      <c r="C38" t="s">
        <v>223</v>
      </c>
      <c r="D38" s="3">
        <v>3351.58</v>
      </c>
      <c r="E38" s="3">
        <v>0</v>
      </c>
      <c r="F38" s="3">
        <v>1088.26</v>
      </c>
      <c r="G38" s="5">
        <v>-4439.84</v>
      </c>
      <c r="H38" t="s">
        <v>56</v>
      </c>
    </row>
    <row r="39" spans="1:8" x14ac:dyDescent="0.25">
      <c r="A39" s="2">
        <v>45627</v>
      </c>
      <c r="B39">
        <v>2</v>
      </c>
      <c r="C39" t="s">
        <v>66</v>
      </c>
      <c r="D39" s="3">
        <v>1407948.08</v>
      </c>
      <c r="E39" s="3">
        <v>303635.44</v>
      </c>
      <c r="F39" s="3">
        <v>285363.93</v>
      </c>
      <c r="G39" s="5">
        <v>-1389676.57</v>
      </c>
      <c r="H39" t="s">
        <v>56</v>
      </c>
    </row>
    <row r="40" spans="1:8" x14ac:dyDescent="0.25">
      <c r="A40" s="2">
        <v>45627</v>
      </c>
      <c r="B40" t="s">
        <v>67</v>
      </c>
      <c r="C40" t="s">
        <v>68</v>
      </c>
      <c r="D40" s="3">
        <v>33576.050000000003</v>
      </c>
      <c r="E40" s="3">
        <v>303635.44</v>
      </c>
      <c r="F40" s="3">
        <v>285363.93</v>
      </c>
      <c r="G40" s="5">
        <v>-15304.54</v>
      </c>
      <c r="H40" t="s">
        <v>56</v>
      </c>
    </row>
    <row r="41" spans="1:8" x14ac:dyDescent="0.25">
      <c r="A41" s="2">
        <v>45627</v>
      </c>
      <c r="B41" t="s">
        <v>224</v>
      </c>
      <c r="C41" t="s">
        <v>225</v>
      </c>
      <c r="D41" s="3">
        <v>22000</v>
      </c>
      <c r="E41" s="3">
        <v>22000</v>
      </c>
      <c r="F41" s="3">
        <v>0</v>
      </c>
      <c r="G41" s="5">
        <v>0</v>
      </c>
      <c r="H41" t="s">
        <v>56</v>
      </c>
    </row>
    <row r="42" spans="1:8" x14ac:dyDescent="0.25">
      <c r="A42" s="2">
        <v>45627</v>
      </c>
      <c r="B42" t="s">
        <v>226</v>
      </c>
      <c r="C42" t="s">
        <v>227</v>
      </c>
      <c r="D42" s="3">
        <v>22000</v>
      </c>
      <c r="E42" s="3">
        <v>22000</v>
      </c>
      <c r="F42" s="3">
        <v>0</v>
      </c>
      <c r="G42" s="5">
        <v>0</v>
      </c>
      <c r="H42" t="s">
        <v>56</v>
      </c>
    </row>
    <row r="43" spans="1:8" x14ac:dyDescent="0.25">
      <c r="A43" s="2">
        <v>45627</v>
      </c>
      <c r="B43" t="s">
        <v>228</v>
      </c>
      <c r="C43" t="s">
        <v>229</v>
      </c>
      <c r="D43" s="3">
        <v>22000</v>
      </c>
      <c r="E43" s="3">
        <v>22000</v>
      </c>
      <c r="F43" s="3">
        <v>0</v>
      </c>
      <c r="G43" s="5">
        <v>0</v>
      </c>
      <c r="H43" t="s">
        <v>56</v>
      </c>
    </row>
    <row r="44" spans="1:8" x14ac:dyDescent="0.25">
      <c r="A44" s="2">
        <v>45627</v>
      </c>
      <c r="B44" t="s">
        <v>69</v>
      </c>
      <c r="C44" t="s">
        <v>70</v>
      </c>
      <c r="D44" s="3">
        <v>11576.05</v>
      </c>
      <c r="E44" s="3">
        <v>281635.44</v>
      </c>
      <c r="F44" s="3">
        <v>285363.93</v>
      </c>
      <c r="G44" s="5">
        <v>-15304.54</v>
      </c>
      <c r="H44" t="s">
        <v>56</v>
      </c>
    </row>
    <row r="45" spans="1:8" x14ac:dyDescent="0.25">
      <c r="A45" s="2">
        <v>45627</v>
      </c>
      <c r="B45" t="s">
        <v>71</v>
      </c>
      <c r="C45" t="s">
        <v>72</v>
      </c>
      <c r="D45" s="3">
        <v>0</v>
      </c>
      <c r="E45" s="3">
        <v>20569.439999999999</v>
      </c>
      <c r="F45" s="3">
        <v>20569.439999999999</v>
      </c>
      <c r="G45" s="5">
        <v>0</v>
      </c>
      <c r="H45" t="s">
        <v>56</v>
      </c>
    </row>
    <row r="46" spans="1:8" x14ac:dyDescent="0.25">
      <c r="A46" s="2">
        <v>45627</v>
      </c>
      <c r="B46" t="s">
        <v>73</v>
      </c>
      <c r="C46" t="s">
        <v>230</v>
      </c>
      <c r="D46" s="3">
        <v>0</v>
      </c>
      <c r="E46" s="3">
        <v>15000</v>
      </c>
      <c r="F46" s="3">
        <v>15000</v>
      </c>
      <c r="G46" s="5">
        <v>0</v>
      </c>
      <c r="H46" t="s">
        <v>56</v>
      </c>
    </row>
    <row r="47" spans="1:8" x14ac:dyDescent="0.25">
      <c r="A47" s="2">
        <v>45627</v>
      </c>
      <c r="B47" t="s">
        <v>74</v>
      </c>
      <c r="C47" t="s">
        <v>231</v>
      </c>
      <c r="D47" s="3">
        <v>0</v>
      </c>
      <c r="E47" s="3">
        <v>19.579999999999998</v>
      </c>
      <c r="F47" s="3">
        <v>19.68</v>
      </c>
      <c r="G47" s="5">
        <v>0</v>
      </c>
      <c r="H47" t="s">
        <v>56</v>
      </c>
    </row>
    <row r="48" spans="1:8" x14ac:dyDescent="0.25">
      <c r="A48" s="2">
        <v>45627</v>
      </c>
      <c r="B48" t="s">
        <v>76</v>
      </c>
      <c r="C48" t="s">
        <v>232</v>
      </c>
      <c r="D48" s="3">
        <v>0</v>
      </c>
      <c r="E48" s="3">
        <v>1344</v>
      </c>
      <c r="F48" s="3">
        <v>1344</v>
      </c>
      <c r="G48" s="5">
        <v>0</v>
      </c>
      <c r="H48" t="s">
        <v>56</v>
      </c>
    </row>
    <row r="49" spans="1:8" x14ac:dyDescent="0.25">
      <c r="A49" s="2">
        <v>45627</v>
      </c>
      <c r="B49" t="s">
        <v>77</v>
      </c>
      <c r="C49" t="s">
        <v>78</v>
      </c>
      <c r="D49" s="3">
        <v>0</v>
      </c>
      <c r="E49" s="3">
        <v>3619.6</v>
      </c>
      <c r="F49" s="3">
        <v>3619.6</v>
      </c>
      <c r="G49" s="5">
        <v>0</v>
      </c>
      <c r="H49" t="s">
        <v>56</v>
      </c>
    </row>
    <row r="50" spans="1:8" x14ac:dyDescent="0.25">
      <c r="A50" s="2">
        <v>45627</v>
      </c>
      <c r="B50" t="s">
        <v>75</v>
      </c>
      <c r="C50" t="s">
        <v>233</v>
      </c>
      <c r="D50" s="3">
        <v>0</v>
      </c>
      <c r="E50" s="3">
        <v>438.56</v>
      </c>
      <c r="F50" s="3">
        <v>438.56</v>
      </c>
      <c r="G50" s="5">
        <v>0</v>
      </c>
      <c r="H50" t="s">
        <v>56</v>
      </c>
    </row>
    <row r="51" spans="1:8" x14ac:dyDescent="0.25">
      <c r="A51" s="2">
        <v>45627</v>
      </c>
      <c r="B51" t="s">
        <v>79</v>
      </c>
      <c r="C51" t="s">
        <v>234</v>
      </c>
      <c r="D51" s="3">
        <v>0</v>
      </c>
      <c r="E51" s="3">
        <v>88.36</v>
      </c>
      <c r="F51" s="3">
        <v>88.56</v>
      </c>
      <c r="G51" s="5">
        <v>0</v>
      </c>
      <c r="H51" t="s">
        <v>56</v>
      </c>
    </row>
    <row r="52" spans="1:8" x14ac:dyDescent="0.25">
      <c r="A52" s="2">
        <v>45627</v>
      </c>
      <c r="B52" t="s">
        <v>80</v>
      </c>
      <c r="C52" t="s">
        <v>235</v>
      </c>
      <c r="D52" s="3">
        <v>0</v>
      </c>
      <c r="E52" s="3">
        <v>59.04</v>
      </c>
      <c r="F52" s="3">
        <v>59.04</v>
      </c>
      <c r="G52" s="5">
        <v>0</v>
      </c>
      <c r="H52" t="s">
        <v>56</v>
      </c>
    </row>
    <row r="53" spans="1:8" x14ac:dyDescent="0.25">
      <c r="A53" s="2">
        <v>45627</v>
      </c>
      <c r="B53" t="s">
        <v>81</v>
      </c>
      <c r="C53" t="s">
        <v>82</v>
      </c>
      <c r="D53" s="3">
        <v>2877.8</v>
      </c>
      <c r="E53" s="3">
        <v>104834.53</v>
      </c>
      <c r="F53" s="3">
        <v>103837.54</v>
      </c>
      <c r="G53" s="5">
        <v>-1390.81</v>
      </c>
      <c r="H53" t="s">
        <v>56</v>
      </c>
    </row>
    <row r="54" spans="1:8" x14ac:dyDescent="0.25">
      <c r="A54" s="2">
        <v>45627</v>
      </c>
      <c r="B54" t="s">
        <v>83</v>
      </c>
      <c r="C54" t="s">
        <v>236</v>
      </c>
      <c r="D54" s="3">
        <v>2269.6</v>
      </c>
      <c r="E54" s="3">
        <v>90202.65</v>
      </c>
      <c r="F54" s="3">
        <v>88631.47</v>
      </c>
      <c r="G54" s="5">
        <v>-698.42</v>
      </c>
      <c r="H54" t="s">
        <v>56</v>
      </c>
    </row>
    <row r="55" spans="1:8" x14ac:dyDescent="0.25">
      <c r="A55" s="2">
        <v>45627</v>
      </c>
      <c r="B55" t="s">
        <v>84</v>
      </c>
      <c r="C55" t="s">
        <v>237</v>
      </c>
      <c r="D55" s="3">
        <v>0</v>
      </c>
      <c r="E55" s="3">
        <v>12623.32</v>
      </c>
      <c r="F55" s="3">
        <v>13723.99</v>
      </c>
      <c r="G55" s="5">
        <v>-1100.57</v>
      </c>
      <c r="H55" t="s">
        <v>56</v>
      </c>
    </row>
    <row r="56" spans="1:8" x14ac:dyDescent="0.25">
      <c r="A56" s="2">
        <v>45627</v>
      </c>
      <c r="B56" t="s">
        <v>297</v>
      </c>
      <c r="C56" t="s">
        <v>238</v>
      </c>
      <c r="D56" s="3">
        <v>608.20000000000005</v>
      </c>
      <c r="E56" s="3">
        <v>1996.56</v>
      </c>
      <c r="F56" s="3">
        <v>1482</v>
      </c>
      <c r="G56" s="5">
        <v>-91.72</v>
      </c>
      <c r="H56" t="s">
        <v>56</v>
      </c>
    </row>
    <row r="57" spans="1:8" x14ac:dyDescent="0.25">
      <c r="A57" s="2">
        <v>45627</v>
      </c>
      <c r="B57" t="s">
        <v>239</v>
      </c>
      <c r="C57" t="s">
        <v>240</v>
      </c>
      <c r="D57" s="3">
        <v>237.31</v>
      </c>
      <c r="E57" s="3">
        <v>490.22</v>
      </c>
      <c r="F57" s="3">
        <v>252.91</v>
      </c>
      <c r="G57" s="5">
        <v>0</v>
      </c>
      <c r="H57" t="s">
        <v>56</v>
      </c>
    </row>
    <row r="58" spans="1:8" x14ac:dyDescent="0.25">
      <c r="A58" s="2">
        <v>45627</v>
      </c>
      <c r="B58" t="s">
        <v>241</v>
      </c>
      <c r="C58" t="s">
        <v>242</v>
      </c>
      <c r="D58" s="3">
        <v>237.31</v>
      </c>
      <c r="E58" s="3">
        <v>490.22</v>
      </c>
      <c r="F58" s="3">
        <v>252.91</v>
      </c>
      <c r="G58" s="5">
        <v>0</v>
      </c>
      <c r="H58" t="s">
        <v>56</v>
      </c>
    </row>
    <row r="59" spans="1:8" x14ac:dyDescent="0.25">
      <c r="A59" s="2">
        <v>45627</v>
      </c>
      <c r="B59" t="s">
        <v>85</v>
      </c>
      <c r="C59" t="s">
        <v>86</v>
      </c>
      <c r="D59" s="3">
        <v>8460.94</v>
      </c>
      <c r="E59" s="3">
        <v>155751.25</v>
      </c>
      <c r="F59" s="3">
        <v>160704.04</v>
      </c>
      <c r="G59" s="5">
        <v>-13413.73</v>
      </c>
      <c r="H59" t="s">
        <v>56</v>
      </c>
    </row>
    <row r="60" spans="1:8" x14ac:dyDescent="0.25">
      <c r="A60" s="2">
        <v>45627</v>
      </c>
      <c r="B60" t="s">
        <v>87</v>
      </c>
      <c r="C60" t="s">
        <v>88</v>
      </c>
      <c r="D60" s="3">
        <v>8460.94</v>
      </c>
      <c r="E60" s="3">
        <v>155751.25</v>
      </c>
      <c r="F60" s="3">
        <v>160704.04</v>
      </c>
      <c r="G60" s="5">
        <v>-13413.73</v>
      </c>
      <c r="H60" t="s">
        <v>56</v>
      </c>
    </row>
    <row r="61" spans="1:8" x14ac:dyDescent="0.25">
      <c r="A61" s="2">
        <v>45627</v>
      </c>
      <c r="B61" t="s">
        <v>89</v>
      </c>
      <c r="C61" t="s">
        <v>90</v>
      </c>
      <c r="D61" s="3">
        <v>1374372.03</v>
      </c>
      <c r="E61" s="3">
        <v>0</v>
      </c>
      <c r="F61" s="3">
        <v>0</v>
      </c>
      <c r="G61" s="5">
        <v>-1374372.03</v>
      </c>
      <c r="H61" t="s">
        <v>56</v>
      </c>
    </row>
    <row r="62" spans="1:8" x14ac:dyDescent="0.25">
      <c r="A62" s="2">
        <v>45627</v>
      </c>
      <c r="B62" t="s">
        <v>91</v>
      </c>
      <c r="C62" t="s">
        <v>92</v>
      </c>
      <c r="D62" s="3">
        <v>1374372.03</v>
      </c>
      <c r="E62" s="3">
        <v>0</v>
      </c>
      <c r="F62" s="3">
        <v>0</v>
      </c>
      <c r="G62" s="5">
        <v>-1374372.03</v>
      </c>
      <c r="H62" t="s">
        <v>56</v>
      </c>
    </row>
    <row r="63" spans="1:8" x14ac:dyDescent="0.25">
      <c r="A63" s="2">
        <v>45627</v>
      </c>
      <c r="B63" t="s">
        <v>93</v>
      </c>
      <c r="C63" t="s">
        <v>94</v>
      </c>
      <c r="D63" s="3">
        <v>1100000</v>
      </c>
      <c r="E63" s="3">
        <v>0</v>
      </c>
      <c r="F63" s="3">
        <v>0</v>
      </c>
      <c r="G63" s="5">
        <v>-1100000</v>
      </c>
      <c r="H63" t="s">
        <v>56</v>
      </c>
    </row>
    <row r="64" spans="1:8" x14ac:dyDescent="0.25">
      <c r="A64" s="2">
        <v>45627</v>
      </c>
      <c r="B64" t="s">
        <v>95</v>
      </c>
      <c r="C64" t="s">
        <v>96</v>
      </c>
      <c r="D64" s="3">
        <v>1100000</v>
      </c>
      <c r="E64" s="3">
        <v>0</v>
      </c>
      <c r="F64" s="3">
        <v>0</v>
      </c>
      <c r="G64" s="5">
        <v>-1100000</v>
      </c>
      <c r="H64" t="s">
        <v>56</v>
      </c>
    </row>
    <row r="65" spans="1:9" x14ac:dyDescent="0.25">
      <c r="A65" s="2">
        <v>45627</v>
      </c>
      <c r="B65" t="s">
        <v>97</v>
      </c>
      <c r="C65" t="s">
        <v>98</v>
      </c>
      <c r="D65" s="3">
        <v>274372.03000000003</v>
      </c>
      <c r="E65" s="3">
        <v>0</v>
      </c>
      <c r="F65" s="3">
        <v>0</v>
      </c>
      <c r="G65" s="5">
        <v>-274372.03000000003</v>
      </c>
      <c r="H65" t="s">
        <v>56</v>
      </c>
    </row>
    <row r="66" spans="1:9" x14ac:dyDescent="0.25">
      <c r="A66" s="2">
        <v>45627</v>
      </c>
      <c r="B66" t="s">
        <v>99</v>
      </c>
      <c r="C66" t="s">
        <v>243</v>
      </c>
      <c r="D66" s="3">
        <v>274372.03000000003</v>
      </c>
      <c r="E66" s="3">
        <v>0</v>
      </c>
      <c r="F66" s="3">
        <v>0</v>
      </c>
      <c r="G66" s="5">
        <v>-274372.03000000003</v>
      </c>
      <c r="H66" t="s">
        <v>56</v>
      </c>
    </row>
    <row r="67" spans="1:9" x14ac:dyDescent="0.25">
      <c r="A67" s="2">
        <v>45627</v>
      </c>
      <c r="B67">
        <v>3</v>
      </c>
      <c r="C67" t="s">
        <v>100</v>
      </c>
      <c r="D67" s="3">
        <v>0</v>
      </c>
      <c r="E67" s="3">
        <v>0</v>
      </c>
      <c r="F67" s="3">
        <v>6428316.1600000001</v>
      </c>
      <c r="G67" s="5">
        <v>-6428316.1600000001</v>
      </c>
      <c r="H67" t="s">
        <v>56</v>
      </c>
    </row>
    <row r="68" spans="1:9" x14ac:dyDescent="0.25">
      <c r="A68" s="2">
        <v>45627</v>
      </c>
      <c r="B68" t="s">
        <v>101</v>
      </c>
      <c r="C68" t="s">
        <v>102</v>
      </c>
      <c r="D68" s="3">
        <v>0</v>
      </c>
      <c r="E68" s="3">
        <v>0</v>
      </c>
      <c r="F68" s="3">
        <v>6428316.1600000001</v>
      </c>
      <c r="G68" s="5">
        <v>-6428316.1600000001</v>
      </c>
      <c r="H68" t="s">
        <v>56</v>
      </c>
    </row>
    <row r="69" spans="1:9" x14ac:dyDescent="0.25">
      <c r="A69" s="2">
        <v>45627</v>
      </c>
      <c r="B69" t="s">
        <v>103</v>
      </c>
      <c r="C69" t="s">
        <v>104</v>
      </c>
      <c r="D69" s="3">
        <v>0</v>
      </c>
      <c r="E69" s="3">
        <v>0</v>
      </c>
      <c r="F69" s="3">
        <v>6428316.1600000001</v>
      </c>
      <c r="G69" s="5">
        <v>-6428316.1600000001</v>
      </c>
      <c r="H69" t="s">
        <v>56</v>
      </c>
    </row>
    <row r="70" spans="1:9" x14ac:dyDescent="0.25">
      <c r="A70" s="2">
        <v>45627</v>
      </c>
      <c r="B70" t="s">
        <v>105</v>
      </c>
      <c r="C70" t="s">
        <v>106</v>
      </c>
      <c r="D70" s="3">
        <v>0</v>
      </c>
      <c r="E70" s="3">
        <v>0</v>
      </c>
      <c r="F70" s="3">
        <v>6426785.6399999997</v>
      </c>
      <c r="G70" s="5">
        <v>-6426785.6399999997</v>
      </c>
      <c r="H70" t="s">
        <v>56</v>
      </c>
    </row>
    <row r="71" spans="1:9" x14ac:dyDescent="0.25">
      <c r="A71" s="2">
        <v>45627</v>
      </c>
      <c r="B71" t="s">
        <v>107</v>
      </c>
      <c r="C71" t="s">
        <v>108</v>
      </c>
      <c r="D71" s="3">
        <v>0</v>
      </c>
      <c r="E71" s="3">
        <v>0</v>
      </c>
      <c r="F71" s="3">
        <v>5697386.9000000004</v>
      </c>
      <c r="G71" s="5">
        <v>-5697386.9000000004</v>
      </c>
      <c r="H71" t="s">
        <v>56</v>
      </c>
    </row>
    <row r="72" spans="1:9" x14ac:dyDescent="0.25">
      <c r="A72" s="2">
        <v>45627</v>
      </c>
      <c r="B72" t="s">
        <v>109</v>
      </c>
      <c r="C72" t="s">
        <v>110</v>
      </c>
      <c r="D72" s="3">
        <v>0</v>
      </c>
      <c r="E72" s="3">
        <v>0</v>
      </c>
      <c r="F72" s="3">
        <v>545717.64</v>
      </c>
      <c r="G72" s="5">
        <v>-545717.64</v>
      </c>
      <c r="H72" t="s">
        <v>56</v>
      </c>
    </row>
    <row r="73" spans="1:9" x14ac:dyDescent="0.25">
      <c r="A73" s="2">
        <v>45627</v>
      </c>
      <c r="B73" t="s">
        <v>111</v>
      </c>
      <c r="C73" t="s">
        <v>112</v>
      </c>
      <c r="D73" s="3">
        <v>0</v>
      </c>
      <c r="E73" s="3">
        <v>0</v>
      </c>
      <c r="F73" s="3">
        <v>183679.1</v>
      </c>
      <c r="G73" s="5">
        <v>-183679.1</v>
      </c>
      <c r="H73" t="s">
        <v>56</v>
      </c>
    </row>
    <row r="74" spans="1:9" x14ac:dyDescent="0.25">
      <c r="A74" s="2">
        <v>45627</v>
      </c>
      <c r="B74" t="s">
        <v>244</v>
      </c>
      <c r="C74" t="s">
        <v>245</v>
      </c>
      <c r="D74" s="3">
        <v>0</v>
      </c>
      <c r="E74" s="3">
        <v>0</v>
      </c>
      <c r="F74" s="3">
        <v>1530.52</v>
      </c>
      <c r="G74" s="5">
        <v>-1530.52</v>
      </c>
      <c r="H74" t="s">
        <v>56</v>
      </c>
    </row>
    <row r="75" spans="1:9" x14ac:dyDescent="0.25">
      <c r="A75" s="2">
        <v>45627</v>
      </c>
      <c r="B75" t="s">
        <v>246</v>
      </c>
      <c r="C75" t="s">
        <v>247</v>
      </c>
      <c r="D75" s="3">
        <v>0</v>
      </c>
      <c r="E75" s="3">
        <v>0</v>
      </c>
      <c r="F75" s="3">
        <v>1530.52</v>
      </c>
      <c r="G75" s="5">
        <v>-1532.52</v>
      </c>
      <c r="H75" t="s">
        <v>56</v>
      </c>
    </row>
    <row r="76" spans="1:9" x14ac:dyDescent="0.25">
      <c r="A76" s="2">
        <v>45627</v>
      </c>
      <c r="B76">
        <v>4</v>
      </c>
      <c r="C76" t="s">
        <v>113</v>
      </c>
      <c r="D76" s="3">
        <v>0</v>
      </c>
      <c r="E76" s="3">
        <v>6605894.6699999999</v>
      </c>
      <c r="F76" s="3">
        <v>16457.41</v>
      </c>
      <c r="G76" s="5">
        <v>6589437.2599999998</v>
      </c>
      <c r="H76" t="s">
        <v>9</v>
      </c>
      <c r="I76" s="1">
        <f>E76-F76-G76</f>
        <v>0</v>
      </c>
    </row>
    <row r="77" spans="1:9" x14ac:dyDescent="0.25">
      <c r="A77" s="2">
        <v>45627</v>
      </c>
      <c r="B77" t="s">
        <v>114</v>
      </c>
      <c r="C77" t="s">
        <v>115</v>
      </c>
      <c r="D77" s="3">
        <v>0</v>
      </c>
      <c r="E77" s="3">
        <v>6605894.6699999999</v>
      </c>
      <c r="F77" s="3">
        <v>16457.41</v>
      </c>
      <c r="G77" s="5">
        <v>6589437.2599999998</v>
      </c>
      <c r="H77" t="s">
        <v>9</v>
      </c>
      <c r="I77" s="1">
        <f t="shared" ref="I77:I140" si="0">E77-F77-G77</f>
        <v>0</v>
      </c>
    </row>
    <row r="78" spans="1:9" x14ac:dyDescent="0.25">
      <c r="A78" s="2">
        <v>45627</v>
      </c>
      <c r="B78" t="s">
        <v>116</v>
      </c>
      <c r="C78" t="s">
        <v>117</v>
      </c>
      <c r="D78" s="3">
        <v>0</v>
      </c>
      <c r="E78" s="3">
        <v>6605894.6699999999</v>
      </c>
      <c r="F78" s="3">
        <v>16457.41</v>
      </c>
      <c r="G78" s="5">
        <v>6589437.2599999998</v>
      </c>
      <c r="H78" t="s">
        <v>9</v>
      </c>
      <c r="I78" s="1">
        <f t="shared" si="0"/>
        <v>0</v>
      </c>
    </row>
    <row r="79" spans="1:9" x14ac:dyDescent="0.25">
      <c r="A79" s="2">
        <v>45627</v>
      </c>
      <c r="B79" t="s">
        <v>118</v>
      </c>
      <c r="C79" t="s">
        <v>119</v>
      </c>
      <c r="D79" s="3">
        <v>0</v>
      </c>
      <c r="E79" s="3">
        <v>180325.83</v>
      </c>
      <c r="F79" s="3">
        <v>9795.41</v>
      </c>
      <c r="G79" s="5">
        <v>170530.42</v>
      </c>
      <c r="H79" t="s">
        <v>9</v>
      </c>
      <c r="I79" s="1">
        <f t="shared" si="0"/>
        <v>0</v>
      </c>
    </row>
    <row r="80" spans="1:9" x14ac:dyDescent="0.25">
      <c r="A80" s="2">
        <v>45627</v>
      </c>
      <c r="B80" t="s">
        <v>120</v>
      </c>
      <c r="C80" t="s">
        <v>121</v>
      </c>
      <c r="D80" s="3">
        <v>0</v>
      </c>
      <c r="E80" s="3">
        <v>121380.29</v>
      </c>
      <c r="F80" s="3">
        <v>0</v>
      </c>
      <c r="G80" s="5">
        <v>121380.29</v>
      </c>
      <c r="H80" t="s">
        <v>9</v>
      </c>
      <c r="I80" s="1">
        <f t="shared" si="0"/>
        <v>0</v>
      </c>
    </row>
    <row r="81" spans="1:9" x14ac:dyDescent="0.25">
      <c r="A81" s="2">
        <v>45627</v>
      </c>
      <c r="B81" t="s">
        <v>122</v>
      </c>
      <c r="C81" t="s">
        <v>123</v>
      </c>
      <c r="D81" s="3">
        <v>0</v>
      </c>
      <c r="E81" s="3">
        <v>23211.97</v>
      </c>
      <c r="F81" s="3">
        <v>0</v>
      </c>
      <c r="G81" s="5">
        <v>23211.97</v>
      </c>
      <c r="H81" t="s">
        <v>9</v>
      </c>
      <c r="I81" s="1">
        <f t="shared" si="0"/>
        <v>0</v>
      </c>
    </row>
    <row r="82" spans="1:9" x14ac:dyDescent="0.25">
      <c r="A82" s="2">
        <v>45627</v>
      </c>
      <c r="B82" t="s">
        <v>124</v>
      </c>
      <c r="C82" t="s">
        <v>125</v>
      </c>
      <c r="D82" s="3">
        <v>0</v>
      </c>
      <c r="E82" s="3">
        <v>16111.78</v>
      </c>
      <c r="F82" s="3">
        <v>4586.1499999999996</v>
      </c>
      <c r="G82" s="5">
        <v>11525.63</v>
      </c>
      <c r="H82" t="s">
        <v>9</v>
      </c>
      <c r="I82" s="1">
        <f t="shared" si="0"/>
        <v>0</v>
      </c>
    </row>
    <row r="83" spans="1:9" x14ac:dyDescent="0.25">
      <c r="A83" s="2">
        <v>45627</v>
      </c>
      <c r="B83" t="s">
        <v>126</v>
      </c>
      <c r="C83" t="s">
        <v>248</v>
      </c>
      <c r="D83" s="3">
        <v>0</v>
      </c>
      <c r="E83" s="3">
        <v>11967.59</v>
      </c>
      <c r="F83" s="3">
        <v>0</v>
      </c>
      <c r="G83" s="5">
        <v>11967.59</v>
      </c>
      <c r="H83" t="s">
        <v>9</v>
      </c>
      <c r="I83" s="1">
        <f t="shared" si="0"/>
        <v>0</v>
      </c>
    </row>
    <row r="84" spans="1:9" x14ac:dyDescent="0.25">
      <c r="A84" s="2">
        <v>45627</v>
      </c>
      <c r="B84" t="s">
        <v>127</v>
      </c>
      <c r="C84" t="s">
        <v>128</v>
      </c>
      <c r="D84" s="3">
        <v>0</v>
      </c>
      <c r="E84" s="3">
        <v>6000</v>
      </c>
      <c r="F84" s="3">
        <v>5209.26</v>
      </c>
      <c r="G84" s="5">
        <v>790.74</v>
      </c>
      <c r="H84" t="s">
        <v>9</v>
      </c>
      <c r="I84" s="1">
        <f t="shared" si="0"/>
        <v>0</v>
      </c>
    </row>
    <row r="85" spans="1:9" x14ac:dyDescent="0.25">
      <c r="A85" s="2">
        <v>45627</v>
      </c>
      <c r="B85" t="s">
        <v>249</v>
      </c>
      <c r="C85" t="s">
        <v>250</v>
      </c>
      <c r="D85" s="3">
        <v>0</v>
      </c>
      <c r="E85" s="3">
        <v>1654.2</v>
      </c>
      <c r="F85" s="3">
        <v>0</v>
      </c>
      <c r="G85" s="5">
        <v>1654.2</v>
      </c>
      <c r="H85" t="s">
        <v>9</v>
      </c>
      <c r="I85" s="1">
        <f t="shared" si="0"/>
        <v>0</v>
      </c>
    </row>
    <row r="86" spans="1:9" x14ac:dyDescent="0.25">
      <c r="A86" s="2">
        <v>45627</v>
      </c>
      <c r="B86" t="s">
        <v>129</v>
      </c>
      <c r="C86" t="s">
        <v>130</v>
      </c>
      <c r="D86" s="3">
        <v>0</v>
      </c>
      <c r="E86" s="3">
        <v>19001.64</v>
      </c>
      <c r="F86" s="3">
        <v>0</v>
      </c>
      <c r="G86" s="5">
        <v>19001.64</v>
      </c>
      <c r="H86" t="s">
        <v>9</v>
      </c>
      <c r="I86" s="1">
        <f t="shared" si="0"/>
        <v>0</v>
      </c>
    </row>
    <row r="87" spans="1:9" x14ac:dyDescent="0.25">
      <c r="A87" s="2">
        <v>45627</v>
      </c>
      <c r="B87" t="s">
        <v>251</v>
      </c>
      <c r="C87" t="s">
        <v>252</v>
      </c>
      <c r="D87" s="3">
        <v>0</v>
      </c>
      <c r="E87" s="3">
        <v>7482.55</v>
      </c>
      <c r="F87" s="3">
        <v>0</v>
      </c>
      <c r="G87" s="5">
        <v>7482.55</v>
      </c>
      <c r="H87" t="s">
        <v>9</v>
      </c>
      <c r="I87" s="1">
        <f t="shared" si="0"/>
        <v>0</v>
      </c>
    </row>
    <row r="88" spans="1:9" x14ac:dyDescent="0.25">
      <c r="A88" s="2">
        <v>45627</v>
      </c>
      <c r="B88" t="s">
        <v>253</v>
      </c>
      <c r="C88" t="s">
        <v>254</v>
      </c>
      <c r="D88" s="3">
        <v>0</v>
      </c>
      <c r="E88" s="3">
        <v>2757</v>
      </c>
      <c r="F88" s="3">
        <v>0</v>
      </c>
      <c r="G88" s="5">
        <v>2757</v>
      </c>
      <c r="H88" t="s">
        <v>9</v>
      </c>
      <c r="I88" s="1">
        <f t="shared" si="0"/>
        <v>0</v>
      </c>
    </row>
    <row r="89" spans="1:9" x14ac:dyDescent="0.25">
      <c r="A89" s="2">
        <v>45627</v>
      </c>
      <c r="B89" t="s">
        <v>131</v>
      </c>
      <c r="C89" t="s">
        <v>132</v>
      </c>
      <c r="D89" s="3">
        <v>0</v>
      </c>
      <c r="E89" s="3">
        <v>8762.09</v>
      </c>
      <c r="F89" s="3">
        <v>0</v>
      </c>
      <c r="G89" s="5">
        <v>8762.09</v>
      </c>
      <c r="H89" t="s">
        <v>9</v>
      </c>
      <c r="I89" s="1">
        <f t="shared" si="0"/>
        <v>0</v>
      </c>
    </row>
    <row r="90" spans="1:9" x14ac:dyDescent="0.25">
      <c r="A90" s="2">
        <v>45627</v>
      </c>
      <c r="B90" t="s">
        <v>133</v>
      </c>
      <c r="C90" t="s">
        <v>134</v>
      </c>
      <c r="D90" s="3">
        <v>0</v>
      </c>
      <c r="E90" s="3">
        <v>58971.97</v>
      </c>
      <c r="F90" s="3">
        <v>0</v>
      </c>
      <c r="G90" s="5">
        <v>58971.97</v>
      </c>
      <c r="H90" t="s">
        <v>9</v>
      </c>
      <c r="I90" s="1">
        <f t="shared" si="0"/>
        <v>0</v>
      </c>
    </row>
    <row r="91" spans="1:9" x14ac:dyDescent="0.25">
      <c r="A91" s="2">
        <v>45627</v>
      </c>
      <c r="B91" t="s">
        <v>135</v>
      </c>
      <c r="C91" t="s">
        <v>136</v>
      </c>
      <c r="D91" s="3">
        <v>0</v>
      </c>
      <c r="E91" s="3">
        <v>33976.18</v>
      </c>
      <c r="F91" s="3">
        <v>0</v>
      </c>
      <c r="G91" s="5">
        <v>33976.18</v>
      </c>
      <c r="H91" t="s">
        <v>9</v>
      </c>
      <c r="I91" s="1">
        <f t="shared" si="0"/>
        <v>0</v>
      </c>
    </row>
    <row r="92" spans="1:9" x14ac:dyDescent="0.25">
      <c r="A92" s="2">
        <v>45627</v>
      </c>
      <c r="B92" t="s">
        <v>137</v>
      </c>
      <c r="C92" t="s">
        <v>138</v>
      </c>
      <c r="D92" s="3">
        <v>0</v>
      </c>
      <c r="E92" s="3">
        <v>2848.53</v>
      </c>
      <c r="F92" s="3">
        <v>0</v>
      </c>
      <c r="G92" s="5">
        <v>2848.53</v>
      </c>
      <c r="H92" t="s">
        <v>9</v>
      </c>
      <c r="I92" s="1">
        <f t="shared" si="0"/>
        <v>0</v>
      </c>
    </row>
    <row r="93" spans="1:9" x14ac:dyDescent="0.25">
      <c r="A93" s="2">
        <v>45627</v>
      </c>
      <c r="B93" t="s">
        <v>139</v>
      </c>
      <c r="C93" t="s">
        <v>255</v>
      </c>
      <c r="D93" s="3">
        <v>0</v>
      </c>
      <c r="E93" s="3">
        <v>3147.26</v>
      </c>
      <c r="F93" s="3">
        <v>0</v>
      </c>
      <c r="G93" s="5">
        <v>3147.26</v>
      </c>
      <c r="H93" t="s">
        <v>9</v>
      </c>
      <c r="I93" s="1">
        <f t="shared" si="0"/>
        <v>0</v>
      </c>
    </row>
    <row r="94" spans="1:9" x14ac:dyDescent="0.25">
      <c r="A94" s="2">
        <v>45627</v>
      </c>
      <c r="B94" t="s">
        <v>256</v>
      </c>
      <c r="C94" t="s">
        <v>257</v>
      </c>
      <c r="D94" s="3">
        <v>0</v>
      </c>
      <c r="E94" s="3">
        <v>19000</v>
      </c>
      <c r="F94" s="3">
        <v>0</v>
      </c>
      <c r="G94" s="5">
        <v>19000</v>
      </c>
      <c r="H94" t="s">
        <v>9</v>
      </c>
      <c r="I94" s="1">
        <f t="shared" si="0"/>
        <v>0</v>
      </c>
    </row>
    <row r="95" spans="1:9" x14ac:dyDescent="0.25">
      <c r="A95" s="2">
        <v>45627</v>
      </c>
      <c r="B95" t="s">
        <v>140</v>
      </c>
      <c r="C95" t="s">
        <v>141</v>
      </c>
      <c r="D95" s="3">
        <v>0</v>
      </c>
      <c r="E95" s="3">
        <v>3596029.56</v>
      </c>
      <c r="F95" s="3">
        <v>0</v>
      </c>
      <c r="G95" s="5">
        <v>3596029.56</v>
      </c>
      <c r="H95" t="s">
        <v>9</v>
      </c>
      <c r="I95" s="1">
        <f t="shared" si="0"/>
        <v>0</v>
      </c>
    </row>
    <row r="96" spans="1:9" x14ac:dyDescent="0.25">
      <c r="A96" s="2">
        <v>45627</v>
      </c>
      <c r="B96" t="s">
        <v>142</v>
      </c>
      <c r="C96" t="s">
        <v>143</v>
      </c>
      <c r="D96" s="3">
        <v>0</v>
      </c>
      <c r="E96" s="3">
        <v>7525</v>
      </c>
      <c r="F96" s="3">
        <v>0</v>
      </c>
      <c r="G96" s="5">
        <v>7525</v>
      </c>
      <c r="H96" t="s">
        <v>9</v>
      </c>
      <c r="I96" s="1">
        <f t="shared" si="0"/>
        <v>0</v>
      </c>
    </row>
    <row r="97" spans="1:9" x14ac:dyDescent="0.25">
      <c r="A97" s="2">
        <v>45627</v>
      </c>
      <c r="B97" t="s">
        <v>144</v>
      </c>
      <c r="C97" t="s">
        <v>145</v>
      </c>
      <c r="D97" s="3">
        <v>0</v>
      </c>
      <c r="E97" s="3">
        <v>333730.09999999998</v>
      </c>
      <c r="F97" s="3">
        <v>0</v>
      </c>
      <c r="G97" s="5">
        <v>333730.09999999998</v>
      </c>
      <c r="H97" t="s">
        <v>9</v>
      </c>
      <c r="I97" s="1">
        <f t="shared" si="0"/>
        <v>0</v>
      </c>
    </row>
    <row r="98" spans="1:9" x14ac:dyDescent="0.25">
      <c r="A98" s="2">
        <v>45627</v>
      </c>
      <c r="B98" t="s">
        <v>146</v>
      </c>
      <c r="C98" t="s">
        <v>147</v>
      </c>
      <c r="D98" s="3">
        <v>0</v>
      </c>
      <c r="E98" s="3">
        <v>31942</v>
      </c>
      <c r="F98" s="3">
        <v>0</v>
      </c>
      <c r="G98" s="5">
        <v>31942</v>
      </c>
      <c r="H98" t="s">
        <v>9</v>
      </c>
      <c r="I98" s="1">
        <f t="shared" si="0"/>
        <v>0</v>
      </c>
    </row>
    <row r="99" spans="1:9" x14ac:dyDescent="0.25">
      <c r="A99" s="2">
        <v>45627</v>
      </c>
      <c r="B99" t="s">
        <v>148</v>
      </c>
      <c r="C99" t="s">
        <v>258</v>
      </c>
      <c r="D99" s="3">
        <v>0</v>
      </c>
      <c r="E99" s="3">
        <v>6020</v>
      </c>
      <c r="F99" s="3">
        <v>0</v>
      </c>
      <c r="G99" s="5">
        <v>6020</v>
      </c>
      <c r="H99" t="s">
        <v>9</v>
      </c>
      <c r="I99" s="1">
        <f t="shared" si="0"/>
        <v>0</v>
      </c>
    </row>
    <row r="100" spans="1:9" x14ac:dyDescent="0.25">
      <c r="A100" s="2">
        <v>45627</v>
      </c>
      <c r="B100" t="s">
        <v>149</v>
      </c>
      <c r="C100" t="s">
        <v>259</v>
      </c>
      <c r="D100" s="3">
        <v>0</v>
      </c>
      <c r="E100" s="3">
        <v>5754.09</v>
      </c>
      <c r="F100" s="3">
        <v>0</v>
      </c>
      <c r="G100" s="5">
        <v>5754.09</v>
      </c>
      <c r="H100" t="s">
        <v>9</v>
      </c>
      <c r="I100" s="1">
        <f t="shared" si="0"/>
        <v>0</v>
      </c>
    </row>
    <row r="101" spans="1:9" x14ac:dyDescent="0.25">
      <c r="A101" s="2">
        <v>45627</v>
      </c>
      <c r="B101" t="s">
        <v>150</v>
      </c>
      <c r="C101" t="s">
        <v>151</v>
      </c>
      <c r="D101" s="3">
        <v>0</v>
      </c>
      <c r="E101" s="3">
        <v>87323.6</v>
      </c>
      <c r="F101" s="3">
        <v>0</v>
      </c>
      <c r="G101" s="5">
        <v>87323.6</v>
      </c>
      <c r="H101" t="s">
        <v>9</v>
      </c>
      <c r="I101" s="1">
        <f t="shared" si="0"/>
        <v>0</v>
      </c>
    </row>
    <row r="102" spans="1:9" x14ac:dyDescent="0.25">
      <c r="A102" s="2">
        <v>45627</v>
      </c>
      <c r="B102" t="s">
        <v>152</v>
      </c>
      <c r="C102" t="s">
        <v>260</v>
      </c>
      <c r="D102" s="3">
        <v>0</v>
      </c>
      <c r="E102" s="3">
        <v>45544</v>
      </c>
      <c r="F102" s="3">
        <v>0</v>
      </c>
      <c r="G102" s="5">
        <v>45544</v>
      </c>
      <c r="H102" t="s">
        <v>9</v>
      </c>
      <c r="I102" s="1">
        <f t="shared" si="0"/>
        <v>0</v>
      </c>
    </row>
    <row r="103" spans="1:9" x14ac:dyDescent="0.25">
      <c r="A103" s="2">
        <v>45627</v>
      </c>
      <c r="B103" t="s">
        <v>153</v>
      </c>
      <c r="C103" t="s">
        <v>154</v>
      </c>
      <c r="D103" s="3">
        <v>0</v>
      </c>
      <c r="E103" s="3">
        <v>6074.18</v>
      </c>
      <c r="F103" s="3">
        <v>0</v>
      </c>
      <c r="G103" s="5">
        <v>6074.18</v>
      </c>
      <c r="H103" t="s">
        <v>9</v>
      </c>
      <c r="I103" s="1">
        <f t="shared" si="0"/>
        <v>0</v>
      </c>
    </row>
    <row r="104" spans="1:9" x14ac:dyDescent="0.25">
      <c r="A104" s="2">
        <v>45627</v>
      </c>
      <c r="B104" t="s">
        <v>155</v>
      </c>
      <c r="C104" t="s">
        <v>156</v>
      </c>
      <c r="D104" s="3">
        <v>0</v>
      </c>
      <c r="E104" s="3">
        <v>1597892.08</v>
      </c>
      <c r="F104" s="3">
        <v>0</v>
      </c>
      <c r="G104" s="5">
        <v>1597892.08</v>
      </c>
      <c r="H104" t="s">
        <v>9</v>
      </c>
      <c r="I104" s="1">
        <f t="shared" si="0"/>
        <v>0</v>
      </c>
    </row>
    <row r="105" spans="1:9" x14ac:dyDescent="0.25">
      <c r="A105" s="2">
        <v>45627</v>
      </c>
      <c r="B105" t="s">
        <v>157</v>
      </c>
      <c r="C105" t="s">
        <v>158</v>
      </c>
      <c r="D105" s="3">
        <v>0</v>
      </c>
      <c r="E105" s="3">
        <v>532241</v>
      </c>
      <c r="F105" s="3">
        <v>0</v>
      </c>
      <c r="G105" s="5">
        <v>532241</v>
      </c>
      <c r="H105" t="s">
        <v>9</v>
      </c>
      <c r="I105" s="1">
        <f t="shared" si="0"/>
        <v>0</v>
      </c>
    </row>
    <row r="106" spans="1:9" x14ac:dyDescent="0.25">
      <c r="A106" s="2">
        <v>45627</v>
      </c>
      <c r="B106" t="s">
        <v>159</v>
      </c>
      <c r="C106" t="s">
        <v>160</v>
      </c>
      <c r="D106" s="3">
        <v>0</v>
      </c>
      <c r="E106" s="3">
        <v>88155</v>
      </c>
      <c r="F106" s="3">
        <v>0</v>
      </c>
      <c r="G106" s="5">
        <v>88155</v>
      </c>
      <c r="H106" t="s">
        <v>9</v>
      </c>
      <c r="I106" s="1">
        <f t="shared" si="0"/>
        <v>0</v>
      </c>
    </row>
    <row r="107" spans="1:9" x14ac:dyDescent="0.25">
      <c r="A107" s="2">
        <v>45627</v>
      </c>
      <c r="B107" t="s">
        <v>261</v>
      </c>
      <c r="C107" t="s">
        <v>262</v>
      </c>
      <c r="D107" s="3">
        <v>0</v>
      </c>
      <c r="E107" s="3">
        <v>850000</v>
      </c>
      <c r="F107" s="3">
        <v>0</v>
      </c>
      <c r="G107" s="5">
        <v>850000</v>
      </c>
      <c r="H107" t="s">
        <v>9</v>
      </c>
      <c r="I107" s="1">
        <f t="shared" si="0"/>
        <v>0</v>
      </c>
    </row>
    <row r="108" spans="1:9" x14ac:dyDescent="0.25">
      <c r="A108" s="2">
        <v>45627</v>
      </c>
      <c r="B108" t="s">
        <v>161</v>
      </c>
      <c r="C108" t="s">
        <v>263</v>
      </c>
      <c r="D108" s="3">
        <v>0</v>
      </c>
      <c r="E108" s="3">
        <v>3828.51</v>
      </c>
      <c r="F108" s="3">
        <v>0</v>
      </c>
      <c r="G108" s="5">
        <v>3828.51</v>
      </c>
      <c r="H108" t="s">
        <v>9</v>
      </c>
      <c r="I108" s="1">
        <f t="shared" si="0"/>
        <v>0</v>
      </c>
    </row>
    <row r="109" spans="1:9" x14ac:dyDescent="0.25">
      <c r="A109" s="2">
        <v>45627</v>
      </c>
      <c r="B109" t="s">
        <v>162</v>
      </c>
      <c r="C109" t="s">
        <v>163</v>
      </c>
      <c r="D109" s="3">
        <v>0</v>
      </c>
      <c r="E109" s="3">
        <v>60882.09</v>
      </c>
      <c r="F109" s="3">
        <v>0</v>
      </c>
      <c r="G109" s="5">
        <v>60882.09</v>
      </c>
      <c r="H109" t="s">
        <v>9</v>
      </c>
      <c r="I109" s="1">
        <f t="shared" si="0"/>
        <v>0</v>
      </c>
    </row>
    <row r="110" spans="1:9" x14ac:dyDescent="0.25">
      <c r="A110" s="2">
        <v>45627</v>
      </c>
      <c r="B110" t="s">
        <v>164</v>
      </c>
      <c r="C110" t="s">
        <v>264</v>
      </c>
      <c r="D110" s="3">
        <v>0</v>
      </c>
      <c r="E110" s="3">
        <v>39203.93</v>
      </c>
      <c r="F110" s="3">
        <v>0</v>
      </c>
      <c r="G110" s="5">
        <v>39203.93</v>
      </c>
      <c r="H110" t="s">
        <v>9</v>
      </c>
      <c r="I110" s="1">
        <f t="shared" si="0"/>
        <v>0</v>
      </c>
    </row>
    <row r="111" spans="1:9" x14ac:dyDescent="0.25">
      <c r="A111" s="2">
        <v>45627</v>
      </c>
      <c r="B111" t="s">
        <v>165</v>
      </c>
      <c r="C111" t="s">
        <v>166</v>
      </c>
      <c r="D111" s="3">
        <v>0</v>
      </c>
      <c r="E111" s="3">
        <v>21678.16</v>
      </c>
      <c r="F111" s="3">
        <v>0</v>
      </c>
      <c r="G111" s="5">
        <v>21678.16</v>
      </c>
      <c r="H111" t="s">
        <v>9</v>
      </c>
      <c r="I111" s="1">
        <f t="shared" si="0"/>
        <v>0</v>
      </c>
    </row>
    <row r="112" spans="1:9" x14ac:dyDescent="0.25">
      <c r="A112" s="2">
        <v>45627</v>
      </c>
      <c r="B112" t="s">
        <v>167</v>
      </c>
      <c r="C112" t="s">
        <v>168</v>
      </c>
      <c r="D112" s="3">
        <v>0</v>
      </c>
      <c r="E112" s="3">
        <v>121168.89</v>
      </c>
      <c r="F112" s="3">
        <v>0</v>
      </c>
      <c r="G112" s="5">
        <v>121168.89</v>
      </c>
      <c r="H112" t="s">
        <v>9</v>
      </c>
      <c r="I112" s="1">
        <f t="shared" si="0"/>
        <v>0</v>
      </c>
    </row>
    <row r="113" spans="1:9" x14ac:dyDescent="0.25">
      <c r="A113" s="2">
        <v>45627</v>
      </c>
      <c r="B113" t="s">
        <v>169</v>
      </c>
      <c r="C113" t="s">
        <v>170</v>
      </c>
      <c r="D113" s="3">
        <v>0</v>
      </c>
      <c r="E113" s="3">
        <v>39020.28</v>
      </c>
      <c r="F113" s="3">
        <v>0</v>
      </c>
      <c r="G113" s="5">
        <v>39020.28</v>
      </c>
      <c r="H113" t="s">
        <v>9</v>
      </c>
      <c r="I113" s="1">
        <f t="shared" si="0"/>
        <v>0</v>
      </c>
    </row>
    <row r="114" spans="1:9" x14ac:dyDescent="0.25">
      <c r="A114" s="2">
        <v>45627</v>
      </c>
      <c r="B114" t="s">
        <v>171</v>
      </c>
      <c r="C114" t="s">
        <v>172</v>
      </c>
      <c r="D114" s="3">
        <v>0</v>
      </c>
      <c r="E114" s="3">
        <v>1495.92</v>
      </c>
      <c r="F114" s="3">
        <v>0</v>
      </c>
      <c r="G114" s="5">
        <v>1495.92</v>
      </c>
      <c r="H114" t="s">
        <v>9</v>
      </c>
      <c r="I114" s="1">
        <f t="shared" si="0"/>
        <v>0</v>
      </c>
    </row>
    <row r="115" spans="1:9" x14ac:dyDescent="0.25">
      <c r="A115" s="2">
        <v>45627</v>
      </c>
      <c r="B115" t="s">
        <v>173</v>
      </c>
      <c r="C115" t="s">
        <v>174</v>
      </c>
      <c r="D115" s="3">
        <v>0</v>
      </c>
      <c r="E115" s="3">
        <v>53761.84</v>
      </c>
      <c r="F115" s="3">
        <v>0</v>
      </c>
      <c r="G115" s="5">
        <v>53761.84</v>
      </c>
      <c r="H115" t="s">
        <v>9</v>
      </c>
      <c r="I115" s="1">
        <f t="shared" si="0"/>
        <v>0</v>
      </c>
    </row>
    <row r="116" spans="1:9" x14ac:dyDescent="0.25">
      <c r="A116" s="2">
        <v>45627</v>
      </c>
      <c r="B116" t="s">
        <v>175</v>
      </c>
      <c r="C116" t="s">
        <v>176</v>
      </c>
      <c r="D116" s="3">
        <v>0</v>
      </c>
      <c r="E116" s="3">
        <v>23095.85</v>
      </c>
      <c r="F116" s="3">
        <v>0</v>
      </c>
      <c r="G116" s="5">
        <v>23095.85</v>
      </c>
      <c r="H116" t="s">
        <v>9</v>
      </c>
      <c r="I116" s="1">
        <f t="shared" si="0"/>
        <v>0</v>
      </c>
    </row>
    <row r="117" spans="1:9" x14ac:dyDescent="0.25">
      <c r="A117" s="2">
        <v>45627</v>
      </c>
      <c r="B117" t="s">
        <v>177</v>
      </c>
      <c r="C117" t="s">
        <v>178</v>
      </c>
      <c r="D117" s="3">
        <v>0</v>
      </c>
      <c r="E117" s="3">
        <v>3795</v>
      </c>
      <c r="F117" s="3">
        <v>0</v>
      </c>
      <c r="G117" s="5">
        <v>3795</v>
      </c>
      <c r="H117" t="s">
        <v>9</v>
      </c>
      <c r="I117" s="1">
        <f t="shared" si="0"/>
        <v>0</v>
      </c>
    </row>
    <row r="118" spans="1:9" x14ac:dyDescent="0.25">
      <c r="A118" s="2">
        <v>45627</v>
      </c>
      <c r="B118" t="s">
        <v>179</v>
      </c>
      <c r="C118" t="s">
        <v>180</v>
      </c>
      <c r="D118" s="3">
        <v>0</v>
      </c>
      <c r="E118" s="3">
        <v>2307548.4900000002</v>
      </c>
      <c r="F118" s="3">
        <v>6662</v>
      </c>
      <c r="G118" s="5">
        <v>2300886.4900000002</v>
      </c>
      <c r="H118" t="s">
        <v>9</v>
      </c>
      <c r="I118" s="1">
        <f t="shared" si="0"/>
        <v>0</v>
      </c>
    </row>
    <row r="119" spans="1:9" x14ac:dyDescent="0.25">
      <c r="A119" s="2">
        <v>45627</v>
      </c>
      <c r="B119" t="s">
        <v>181</v>
      </c>
      <c r="C119" t="s">
        <v>182</v>
      </c>
      <c r="D119" s="3">
        <v>0</v>
      </c>
      <c r="E119" s="3">
        <v>415086.15</v>
      </c>
      <c r="F119" s="3">
        <v>0</v>
      </c>
      <c r="G119" s="5">
        <v>415086.15</v>
      </c>
      <c r="H119" t="s">
        <v>9</v>
      </c>
      <c r="I119" s="1">
        <f t="shared" si="0"/>
        <v>0</v>
      </c>
    </row>
    <row r="120" spans="1:9" x14ac:dyDescent="0.25">
      <c r="A120" s="2">
        <v>45627</v>
      </c>
      <c r="B120" t="s">
        <v>183</v>
      </c>
      <c r="C120" t="s">
        <v>184</v>
      </c>
      <c r="D120" s="3">
        <v>0</v>
      </c>
      <c r="E120" s="3">
        <v>55600</v>
      </c>
      <c r="F120" s="3">
        <v>0</v>
      </c>
      <c r="G120" s="5">
        <v>55600</v>
      </c>
      <c r="H120" t="s">
        <v>9</v>
      </c>
      <c r="I120" s="1">
        <f t="shared" si="0"/>
        <v>0</v>
      </c>
    </row>
    <row r="121" spans="1:9" x14ac:dyDescent="0.25">
      <c r="A121" s="2">
        <v>45627</v>
      </c>
      <c r="B121" t="s">
        <v>185</v>
      </c>
      <c r="C121" t="s">
        <v>265</v>
      </c>
      <c r="D121" s="3">
        <v>0</v>
      </c>
      <c r="E121" s="3">
        <v>85500</v>
      </c>
      <c r="F121" s="3">
        <v>0</v>
      </c>
      <c r="G121" s="5">
        <v>85500</v>
      </c>
      <c r="H121" t="s">
        <v>9</v>
      </c>
      <c r="I121" s="1">
        <f t="shared" si="0"/>
        <v>0</v>
      </c>
    </row>
    <row r="122" spans="1:9" x14ac:dyDescent="0.25">
      <c r="A122" s="2">
        <v>45627</v>
      </c>
      <c r="B122" t="s">
        <v>186</v>
      </c>
      <c r="C122" t="s">
        <v>266</v>
      </c>
      <c r="D122" s="3">
        <v>0</v>
      </c>
      <c r="E122" s="3">
        <v>314500</v>
      </c>
      <c r="F122" s="3">
        <v>0</v>
      </c>
      <c r="G122" s="5">
        <v>314500</v>
      </c>
      <c r="H122" t="s">
        <v>9</v>
      </c>
      <c r="I122" s="1">
        <f t="shared" si="0"/>
        <v>0</v>
      </c>
    </row>
    <row r="123" spans="1:9" x14ac:dyDescent="0.25">
      <c r="A123" s="2">
        <v>45627</v>
      </c>
      <c r="B123" t="s">
        <v>187</v>
      </c>
      <c r="C123" t="s">
        <v>267</v>
      </c>
      <c r="D123" s="3">
        <v>0</v>
      </c>
      <c r="E123" s="3">
        <v>45500</v>
      </c>
      <c r="F123" s="3">
        <v>0</v>
      </c>
      <c r="G123" s="5">
        <v>45500</v>
      </c>
      <c r="H123" t="s">
        <v>9</v>
      </c>
      <c r="I123" s="1">
        <f t="shared" si="0"/>
        <v>0</v>
      </c>
    </row>
    <row r="124" spans="1:9" x14ac:dyDescent="0.25">
      <c r="A124" s="2">
        <v>45627</v>
      </c>
      <c r="B124" t="s">
        <v>188</v>
      </c>
      <c r="C124" t="s">
        <v>189</v>
      </c>
      <c r="D124" s="3">
        <v>0</v>
      </c>
      <c r="E124" s="3">
        <v>65000</v>
      </c>
      <c r="F124" s="3">
        <v>0</v>
      </c>
      <c r="G124" s="5">
        <v>65000</v>
      </c>
      <c r="H124" t="s">
        <v>9</v>
      </c>
      <c r="I124" s="1">
        <f t="shared" si="0"/>
        <v>0</v>
      </c>
    </row>
    <row r="125" spans="1:9" x14ac:dyDescent="0.25">
      <c r="A125" s="2">
        <v>45627</v>
      </c>
      <c r="B125" t="s">
        <v>190</v>
      </c>
      <c r="C125" t="s">
        <v>191</v>
      </c>
      <c r="D125" s="3">
        <v>0</v>
      </c>
      <c r="E125" s="3">
        <v>58000</v>
      </c>
      <c r="F125" s="3">
        <v>0</v>
      </c>
      <c r="G125" s="5">
        <v>58000</v>
      </c>
      <c r="H125" t="s">
        <v>9</v>
      </c>
      <c r="I125" s="1">
        <f t="shared" si="0"/>
        <v>0</v>
      </c>
    </row>
    <row r="126" spans="1:9" x14ac:dyDescent="0.25">
      <c r="A126" s="2">
        <v>45627</v>
      </c>
      <c r="B126" t="s">
        <v>192</v>
      </c>
      <c r="C126" t="s">
        <v>193</v>
      </c>
      <c r="D126" s="3">
        <v>0</v>
      </c>
      <c r="E126" s="3">
        <v>118100</v>
      </c>
      <c r="F126" s="3">
        <v>0</v>
      </c>
      <c r="G126" s="5">
        <v>118100</v>
      </c>
      <c r="H126" t="s">
        <v>9</v>
      </c>
      <c r="I126" s="1">
        <f t="shared" si="0"/>
        <v>0</v>
      </c>
    </row>
    <row r="127" spans="1:9" x14ac:dyDescent="0.25">
      <c r="A127" s="2">
        <v>45627</v>
      </c>
      <c r="B127" t="s">
        <v>268</v>
      </c>
      <c r="C127" t="s">
        <v>269</v>
      </c>
      <c r="D127" s="3">
        <v>0</v>
      </c>
      <c r="E127" s="3">
        <v>1002.2</v>
      </c>
      <c r="F127" s="3">
        <v>0</v>
      </c>
      <c r="G127" s="5">
        <v>1002.2</v>
      </c>
      <c r="H127" t="s">
        <v>9</v>
      </c>
      <c r="I127" s="1">
        <f t="shared" si="0"/>
        <v>0</v>
      </c>
    </row>
    <row r="128" spans="1:9" x14ac:dyDescent="0.25">
      <c r="A128" s="2">
        <v>45627</v>
      </c>
      <c r="B128" t="s">
        <v>194</v>
      </c>
      <c r="C128" t="s">
        <v>195</v>
      </c>
      <c r="D128" s="3">
        <v>0</v>
      </c>
      <c r="E128" s="3">
        <v>65000</v>
      </c>
      <c r="F128" s="3">
        <v>0</v>
      </c>
      <c r="G128" s="5">
        <v>65000</v>
      </c>
      <c r="H128" t="s">
        <v>9</v>
      </c>
      <c r="I128" s="1">
        <f t="shared" si="0"/>
        <v>0</v>
      </c>
    </row>
    <row r="129" spans="1:9" x14ac:dyDescent="0.25">
      <c r="A129" s="2">
        <v>45627</v>
      </c>
      <c r="B129" t="s">
        <v>196</v>
      </c>
      <c r="C129" t="s">
        <v>197</v>
      </c>
      <c r="D129" s="3">
        <v>0</v>
      </c>
      <c r="E129" s="3">
        <v>60129.81</v>
      </c>
      <c r="F129" s="3">
        <v>0</v>
      </c>
      <c r="G129" s="5">
        <v>60129.81</v>
      </c>
      <c r="H129" t="s">
        <v>9</v>
      </c>
      <c r="I129" s="1">
        <f t="shared" si="0"/>
        <v>0</v>
      </c>
    </row>
    <row r="130" spans="1:9" x14ac:dyDescent="0.25">
      <c r="A130" s="2">
        <v>45627</v>
      </c>
      <c r="B130" t="s">
        <v>198</v>
      </c>
      <c r="C130" t="s">
        <v>199</v>
      </c>
      <c r="D130" s="3">
        <v>0</v>
      </c>
      <c r="E130" s="3">
        <v>572092</v>
      </c>
      <c r="F130" s="3">
        <v>6662</v>
      </c>
      <c r="G130" s="5">
        <v>565430</v>
      </c>
      <c r="H130" t="s">
        <v>9</v>
      </c>
      <c r="I130" s="1">
        <f t="shared" si="0"/>
        <v>0</v>
      </c>
    </row>
    <row r="131" spans="1:9" x14ac:dyDescent="0.25">
      <c r="A131" s="2">
        <v>45627</v>
      </c>
      <c r="B131" t="s">
        <v>270</v>
      </c>
      <c r="C131" t="s">
        <v>271</v>
      </c>
      <c r="D131" s="3">
        <v>0</v>
      </c>
      <c r="E131" s="3">
        <v>1500</v>
      </c>
      <c r="F131" s="3">
        <v>0</v>
      </c>
      <c r="G131" s="5">
        <v>1500</v>
      </c>
      <c r="H131" t="s">
        <v>9</v>
      </c>
      <c r="I131" s="1">
        <f t="shared" si="0"/>
        <v>0</v>
      </c>
    </row>
    <row r="132" spans="1:9" x14ac:dyDescent="0.25">
      <c r="A132" s="2">
        <v>45627</v>
      </c>
      <c r="B132" t="s">
        <v>272</v>
      </c>
      <c r="C132" t="s">
        <v>273</v>
      </c>
      <c r="D132" s="3">
        <v>0</v>
      </c>
      <c r="E132" s="3">
        <v>3000</v>
      </c>
      <c r="F132" s="3">
        <v>0</v>
      </c>
      <c r="G132" s="5">
        <v>3000</v>
      </c>
      <c r="H132" t="s">
        <v>9</v>
      </c>
      <c r="I132" s="1">
        <f t="shared" si="0"/>
        <v>0</v>
      </c>
    </row>
    <row r="133" spans="1:9" x14ac:dyDescent="0.25">
      <c r="A133" s="2">
        <v>45627</v>
      </c>
      <c r="B133" t="s">
        <v>200</v>
      </c>
      <c r="C133" t="s">
        <v>201</v>
      </c>
      <c r="D133" s="3">
        <v>0</v>
      </c>
      <c r="E133" s="3">
        <v>415500</v>
      </c>
      <c r="F133" s="3">
        <v>0</v>
      </c>
      <c r="G133" s="5">
        <v>415500</v>
      </c>
      <c r="H133" t="s">
        <v>9</v>
      </c>
      <c r="I133" s="1">
        <f t="shared" si="0"/>
        <v>0</v>
      </c>
    </row>
    <row r="134" spans="1:9" x14ac:dyDescent="0.25">
      <c r="A134" s="2">
        <v>45627</v>
      </c>
      <c r="B134" t="s">
        <v>274</v>
      </c>
      <c r="C134" t="s">
        <v>275</v>
      </c>
      <c r="D134" s="3">
        <v>0</v>
      </c>
      <c r="E134" s="3">
        <v>3963.33</v>
      </c>
      <c r="F134" s="3">
        <v>0</v>
      </c>
      <c r="G134" s="5">
        <v>3963.33</v>
      </c>
      <c r="H134" t="s">
        <v>9</v>
      </c>
      <c r="I134" s="1">
        <f t="shared" si="0"/>
        <v>0</v>
      </c>
    </row>
    <row r="135" spans="1:9" x14ac:dyDescent="0.25">
      <c r="A135" s="2">
        <v>45627</v>
      </c>
      <c r="B135" t="s">
        <v>276</v>
      </c>
      <c r="C135" t="s">
        <v>277</v>
      </c>
      <c r="D135" s="3">
        <v>0</v>
      </c>
      <c r="E135" s="3">
        <v>1575</v>
      </c>
      <c r="F135" s="3">
        <v>0</v>
      </c>
      <c r="G135" s="5">
        <v>1575</v>
      </c>
      <c r="H135" t="s">
        <v>9</v>
      </c>
      <c r="I135" s="1">
        <f t="shared" si="0"/>
        <v>0</v>
      </c>
    </row>
    <row r="136" spans="1:9" x14ac:dyDescent="0.25">
      <c r="A136" s="2">
        <v>45627</v>
      </c>
      <c r="B136" t="s">
        <v>202</v>
      </c>
      <c r="C136" t="s">
        <v>278</v>
      </c>
      <c r="D136" s="3">
        <v>0</v>
      </c>
      <c r="E136" s="3">
        <v>11000</v>
      </c>
      <c r="F136" s="3">
        <v>0</v>
      </c>
      <c r="G136" s="5">
        <v>11000</v>
      </c>
      <c r="H136" t="s">
        <v>9</v>
      </c>
      <c r="I136" s="1">
        <f t="shared" si="0"/>
        <v>0</v>
      </c>
    </row>
    <row r="137" spans="1:9" x14ac:dyDescent="0.25">
      <c r="A137" s="2">
        <v>45627</v>
      </c>
      <c r="B137" t="s">
        <v>203</v>
      </c>
      <c r="C137" t="s">
        <v>279</v>
      </c>
      <c r="D137" s="3">
        <v>0</v>
      </c>
      <c r="E137" s="3">
        <v>5000</v>
      </c>
      <c r="F137" s="3">
        <v>0</v>
      </c>
      <c r="G137" s="5">
        <v>5000</v>
      </c>
      <c r="H137" t="s">
        <v>9</v>
      </c>
      <c r="I137" s="1">
        <f t="shared" si="0"/>
        <v>0</v>
      </c>
    </row>
    <row r="138" spans="1:9" x14ac:dyDescent="0.25">
      <c r="A138" s="2">
        <v>45627</v>
      </c>
      <c r="B138" t="s">
        <v>280</v>
      </c>
      <c r="C138" t="s">
        <v>281</v>
      </c>
      <c r="D138" s="3">
        <v>0</v>
      </c>
      <c r="E138" s="3">
        <v>3000</v>
      </c>
      <c r="F138" s="3">
        <v>0</v>
      </c>
      <c r="G138" s="5">
        <v>3000</v>
      </c>
      <c r="H138" t="s">
        <v>9</v>
      </c>
      <c r="I138" s="1">
        <f t="shared" si="0"/>
        <v>0</v>
      </c>
    </row>
    <row r="139" spans="1:9" x14ac:dyDescent="0.25">
      <c r="A139" s="2">
        <v>45627</v>
      </c>
      <c r="B139" t="s">
        <v>282</v>
      </c>
      <c r="C139" t="s">
        <v>283</v>
      </c>
      <c r="D139" s="3">
        <v>0</v>
      </c>
      <c r="E139" s="3">
        <v>1500</v>
      </c>
      <c r="F139" s="3">
        <v>0</v>
      </c>
      <c r="G139" s="5">
        <v>1500</v>
      </c>
      <c r="H139" t="s">
        <v>9</v>
      </c>
      <c r="I139" s="1">
        <f t="shared" si="0"/>
        <v>0</v>
      </c>
    </row>
    <row r="140" spans="1:9" x14ac:dyDescent="0.25">
      <c r="A140" s="2">
        <v>45627</v>
      </c>
      <c r="B140" t="s">
        <v>284</v>
      </c>
      <c r="C140" t="s">
        <v>285</v>
      </c>
      <c r="D140" s="3">
        <v>0</v>
      </c>
      <c r="E140" s="3">
        <v>1500</v>
      </c>
      <c r="F140" s="3">
        <v>0</v>
      </c>
      <c r="G140" s="5">
        <v>1500</v>
      </c>
      <c r="H140" t="s">
        <v>9</v>
      </c>
      <c r="I140" s="1">
        <f t="shared" si="0"/>
        <v>0</v>
      </c>
    </row>
    <row r="141" spans="1:9" x14ac:dyDescent="0.25">
      <c r="A141" s="2">
        <v>45627</v>
      </c>
      <c r="B141" t="s">
        <v>286</v>
      </c>
      <c r="C141" t="s">
        <v>287</v>
      </c>
      <c r="D141" s="3">
        <v>0</v>
      </c>
      <c r="E141" s="3">
        <v>1500</v>
      </c>
      <c r="F141" s="3">
        <v>0</v>
      </c>
      <c r="G141" s="5">
        <v>1500</v>
      </c>
      <c r="H141" t="s">
        <v>9</v>
      </c>
      <c r="I141" s="1">
        <f t="shared" ref="I141:I147" si="1">E141-F141-G141</f>
        <v>0</v>
      </c>
    </row>
    <row r="142" spans="1:9" x14ac:dyDescent="0.25">
      <c r="A142" s="2">
        <v>45627</v>
      </c>
      <c r="B142" t="s">
        <v>288</v>
      </c>
      <c r="C142" t="s">
        <v>289</v>
      </c>
      <c r="D142" s="3">
        <v>0</v>
      </c>
      <c r="E142" s="3">
        <v>1500</v>
      </c>
      <c r="F142" s="3">
        <v>0</v>
      </c>
      <c r="G142" s="5">
        <v>1500</v>
      </c>
      <c r="H142" t="s">
        <v>9</v>
      </c>
      <c r="I142" s="1">
        <f t="shared" si="1"/>
        <v>0</v>
      </c>
    </row>
    <row r="143" spans="1:9" x14ac:dyDescent="0.25">
      <c r="A143" s="2">
        <v>45627</v>
      </c>
      <c r="B143" t="s">
        <v>290</v>
      </c>
      <c r="C143" t="s">
        <v>291</v>
      </c>
      <c r="D143" s="3">
        <v>0</v>
      </c>
      <c r="E143" s="3">
        <v>1500</v>
      </c>
      <c r="F143" s="3">
        <v>0</v>
      </c>
      <c r="G143" s="5">
        <v>1500</v>
      </c>
      <c r="H143" t="s">
        <v>9</v>
      </c>
      <c r="I143" s="1">
        <f t="shared" si="1"/>
        <v>0</v>
      </c>
    </row>
    <row r="144" spans="1:9" x14ac:dyDescent="0.25">
      <c r="A144" s="2">
        <v>45627</v>
      </c>
      <c r="B144" t="s">
        <v>204</v>
      </c>
      <c r="C144" t="s">
        <v>205</v>
      </c>
      <c r="D144" s="3">
        <v>0</v>
      </c>
      <c r="E144" s="3">
        <v>261966.2</v>
      </c>
      <c r="F144" s="3">
        <v>0</v>
      </c>
      <c r="G144" s="5">
        <v>261966.2</v>
      </c>
      <c r="H144" t="s">
        <v>9</v>
      </c>
      <c r="I144" s="1">
        <f t="shared" si="1"/>
        <v>0</v>
      </c>
    </row>
    <row r="145" spans="1:9" x14ac:dyDescent="0.25">
      <c r="A145" s="2">
        <v>45627</v>
      </c>
      <c r="B145" t="s">
        <v>206</v>
      </c>
      <c r="C145" t="s">
        <v>207</v>
      </c>
      <c r="D145" s="3">
        <v>0</v>
      </c>
      <c r="E145" s="3">
        <v>248101.2</v>
      </c>
      <c r="F145" s="3">
        <v>0</v>
      </c>
      <c r="G145" s="5">
        <v>248101.2</v>
      </c>
      <c r="H145" t="s">
        <v>9</v>
      </c>
      <c r="I145" s="1">
        <f t="shared" si="1"/>
        <v>0</v>
      </c>
    </row>
    <row r="146" spans="1:9" x14ac:dyDescent="0.25">
      <c r="A146" s="2">
        <v>45627</v>
      </c>
      <c r="B146" t="s">
        <v>208</v>
      </c>
      <c r="C146" t="s">
        <v>292</v>
      </c>
      <c r="D146" s="3">
        <v>0</v>
      </c>
      <c r="E146" s="3">
        <v>7365</v>
      </c>
      <c r="F146" s="3">
        <v>0</v>
      </c>
      <c r="G146" s="5">
        <v>7365</v>
      </c>
      <c r="H146" t="s">
        <v>9</v>
      </c>
      <c r="I146" s="1">
        <f t="shared" si="1"/>
        <v>0</v>
      </c>
    </row>
    <row r="147" spans="1:9" x14ac:dyDescent="0.25">
      <c r="A147" s="2">
        <v>45627</v>
      </c>
      <c r="B147" t="s">
        <v>293</v>
      </c>
      <c r="C147" t="s">
        <v>294</v>
      </c>
      <c r="D147" s="3">
        <v>0</v>
      </c>
      <c r="E147" s="3">
        <v>6500</v>
      </c>
      <c r="F147" s="3">
        <v>0</v>
      </c>
      <c r="G147" s="5">
        <v>6500</v>
      </c>
      <c r="H147" t="s">
        <v>9</v>
      </c>
      <c r="I147" s="1">
        <f t="shared" si="1"/>
        <v>0</v>
      </c>
    </row>
  </sheetData>
  <conditionalFormatting sqref="B1:B135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Guilherme Gomes da Silva</dc:creator>
  <cp:lastModifiedBy>Luiz Guilherme Gomes da Silva</cp:lastModifiedBy>
  <dcterms:created xsi:type="dcterms:W3CDTF">2026-02-26T06:33:34Z</dcterms:created>
  <dcterms:modified xsi:type="dcterms:W3CDTF">2026-02-26T22:15:15Z</dcterms:modified>
</cp:coreProperties>
</file>